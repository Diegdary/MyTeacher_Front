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D:\Escritorio\TALENTO HUMANO\TALENTO HUMANO\EVALUACIONES\EVALAUCION DE DESEMPEÑO\EVALUACIÓN DESEMPEÑO 2022\EVALUACIÓN DESEMPEÑO 2022\"/>
    </mc:Choice>
  </mc:AlternateContent>
  <xr:revisionPtr revIDLastSave="0" documentId="13_ncr:1_{06940E99-4887-4153-A2E6-0EA5A4AEC3C3}" xr6:coauthVersionLast="47" xr6:coauthVersionMax="47" xr10:uidLastSave="{00000000-0000-0000-0000-000000000000}"/>
  <bookViews>
    <workbookView xWindow="-120" yWindow="-120" windowWidth="29040" windowHeight="15720" tabRatio="798" activeTab="4" xr2:uid="{00000000-000D-0000-FFFF-FFFF00000000}"/>
  </bookViews>
  <sheets>
    <sheet name="MENU PRINCIPAL" sheetId="13" r:id="rId1"/>
    <sheet name="REGISTROS" sheetId="14" state="hidden" r:id="rId2"/>
    <sheet name="BDATOS" sheetId="12" state="hidden" r:id="rId3"/>
    <sheet name="EVALUACION DESEMPEÑO" sheetId="17" r:id="rId4"/>
    <sheet name="PREGUNTAS" sheetId="16" r:id="rId5"/>
    <sheet name="DIRECTORES" sheetId="18" r:id="rId6"/>
    <sheet name="COORDINADORES" sheetId="19" r:id="rId7"/>
    <sheet name="AUX SECRET ASIST" sheetId="20" r:id="rId8"/>
    <sheet name="Hoja1" sheetId="15" r:id="rId9"/>
  </sheets>
  <functionGroups builtInGroupCount="19"/>
  <externalReferences>
    <externalReference r:id="rId10"/>
    <externalReference r:id="rId11"/>
    <externalReference r:id="rId12"/>
    <externalReference r:id="rId13"/>
  </externalReferences>
  <definedNames>
    <definedName name="_xlnm._FilterDatabase" localSheetId="2" hidden="1">BDATOS!$S$1:$S$281</definedName>
    <definedName name="_xlnm.Print_Area" localSheetId="3">'EVALUACION DESEMPEÑO'!$A$1:$N$117</definedName>
    <definedName name="_xlnm.Print_Titles" localSheetId="7">'AUX SECRET ASIST'!$6:$6</definedName>
    <definedName name="_xlnm.Print_Titles" localSheetId="6">COORDINADORES!$6:$6</definedName>
    <definedName name="_xlnm.Print_Titles" localSheetId="5">DIRECTORES!$6:$6</definedName>
    <definedName name="_xlnm.Print_Titles" localSheetId="4">PREGUNTAS!$6:$6</definedName>
    <definedName name="TRABAJADOR" localSheetId="2">BDATOS!$A$1:$A$52</definedName>
    <definedName name="VALORES" localSheetId="7">[1]BDATOS!$F$1:$F$6</definedName>
    <definedName name="VALORES" localSheetId="6">[1]BDATOS!$F$1:$F$6</definedName>
    <definedName name="VALORES" localSheetId="5">[1]BDATOS!$F$1:$F$6</definedName>
    <definedName name="VALORES" localSheetId="3">[2]BDATOS!$G$9:$G$13</definedName>
    <definedName name="VALORES" localSheetId="4">[1]BDATOS!$F$1:$F$6</definedName>
    <definedName name="VALORES">BDATOS!$F$1:$F$6</definedName>
  </definedNames>
  <calcPr calcId="191029"/>
  <pivotCaches>
    <pivotCache cacheId="2"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5" i="17" l="1"/>
  <c r="B115" i="17"/>
  <c r="B114" i="17"/>
  <c r="O100" i="17"/>
  <c r="O99" i="17"/>
  <c r="O98" i="17"/>
  <c r="O97" i="17"/>
  <c r="Q96" i="17"/>
  <c r="O96" i="17"/>
  <c r="Q94" i="17"/>
  <c r="D88" i="17"/>
  <c r="L72" i="17"/>
  <c r="L71" i="17"/>
  <c r="F115" i="17" s="1"/>
  <c r="M66" i="17"/>
  <c r="M62" i="17"/>
  <c r="M57" i="17"/>
  <c r="M53" i="17"/>
  <c r="M49" i="17"/>
  <c r="M45" i="17"/>
  <c r="M39" i="17"/>
  <c r="M34" i="17"/>
  <c r="M30" i="17"/>
  <c r="M26" i="17"/>
  <c r="M22" i="17"/>
  <c r="M18" i="17"/>
  <c r="Y1" i="17"/>
  <c r="X1" i="17"/>
  <c r="V1" i="17"/>
  <c r="U1" i="17"/>
  <c r="Z1" i="17" l="1"/>
  <c r="W1" i="17"/>
  <c r="U235" i="12"/>
  <c r="U231" i="12"/>
  <c r="U227" i="12"/>
  <c r="U223" i="12"/>
  <c r="U219" i="12"/>
  <c r="U214" i="12"/>
  <c r="U209" i="12"/>
  <c r="U204" i="12"/>
  <c r="U198" i="12"/>
  <c r="U194" i="12"/>
  <c r="U190" i="12"/>
  <c r="U186" i="12"/>
  <c r="U182" i="12"/>
  <c r="U178" i="12"/>
  <c r="U173" i="12"/>
  <c r="U168" i="12"/>
  <c r="U163" i="12"/>
  <c r="U157" i="12"/>
  <c r="U153" i="12"/>
  <c r="U149" i="12"/>
  <c r="U145" i="12"/>
  <c r="U141" i="12"/>
  <c r="U137" i="12"/>
  <c r="U132" i="12"/>
  <c r="U127" i="12"/>
  <c r="U122" i="12"/>
  <c r="U116" i="12"/>
  <c r="U112" i="12"/>
  <c r="U108" i="12"/>
  <c r="U104" i="12"/>
  <c r="U100" i="12"/>
  <c r="U96" i="12"/>
  <c r="U91" i="12"/>
  <c r="U86" i="12"/>
  <c r="U81" i="12"/>
  <c r="U75" i="12"/>
  <c r="U71" i="12" l="1"/>
  <c r="U67" i="12"/>
  <c r="U63" i="12"/>
  <c r="U59" i="12"/>
  <c r="U55" i="12"/>
  <c r="U49" i="12"/>
  <c r="U44" i="12"/>
  <c r="U38" i="12"/>
  <c r="U281" i="12" l="1"/>
  <c r="U277" i="12"/>
  <c r="U273" i="12"/>
  <c r="U269" i="12"/>
  <c r="U264" i="12"/>
  <c r="U260" i="12"/>
  <c r="U255" i="12"/>
  <c r="U250" i="12"/>
  <c r="U245" i="12"/>
  <c r="U239" i="12"/>
  <c r="U34" i="12"/>
  <c r="U30" i="12"/>
  <c r="U25" i="12"/>
  <c r="U21" i="12"/>
  <c r="U17" i="12"/>
  <c r="U12" i="12"/>
  <c r="U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Corsalud</author>
  </authors>
  <commentList>
    <comment ref="C74" authorId="0" shapeId="0" xr:uid="{00000000-0006-0000-0300-000001000000}">
      <text>
        <r>
          <rPr>
            <b/>
            <sz val="9"/>
            <color indexed="81"/>
            <rFont val="Tahoma"/>
            <family val="2"/>
          </rPr>
          <t>Corsalud:</t>
        </r>
        <r>
          <rPr>
            <sz val="9"/>
            <color indexed="81"/>
            <rFont val="Tahoma"/>
            <family val="2"/>
          </rPr>
          <t xml:space="preserve">
</t>
        </r>
      </text>
    </comment>
  </commentList>
</comments>
</file>

<file path=xl/sharedStrings.xml><?xml version="1.0" encoding="utf-8"?>
<sst xmlns="http://schemas.openxmlformats.org/spreadsheetml/2006/main" count="1804" uniqueCount="413">
  <si>
    <t>A CONTINUACIÓN USTED ENCONTRARÁ LAS COMPETENCIAS A EVALUAR</t>
  </si>
  <si>
    <t xml:space="preserve">  20= No aceptable.    40= Regular   60= Bueno   80= Muy Bueno   100= Excelente</t>
  </si>
  <si>
    <t>COMPETENCIA</t>
  </si>
  <si>
    <t>COMPORTAMIENTOS ASOCIADOS</t>
  </si>
  <si>
    <t>CALIFICACIÓN</t>
  </si>
  <si>
    <t>2. Cumple a cabalidad con las funciones y responsabilidades propias de su cargo dentro de los tiempos de respuesta esperados.</t>
  </si>
  <si>
    <t>TRABAJO EN EQUIPO</t>
  </si>
  <si>
    <t>1. Colabora de forma continua con sus compañeros de trabajo y se interesa por contribuir en su desarrollo y crecimiento.</t>
  </si>
  <si>
    <t>2. Es capaz de escuchar opiniones, ofrecer aportes, recibir retroalimentación y aceptar sugerencias como parte de su crecimiento laboral y profesional.</t>
  </si>
  <si>
    <t>3.  Posee claridad de  los objetivos del equipo  y aporta lo mejor de su trabajo para lograrlos.</t>
  </si>
  <si>
    <t>4.  Desarrolla y mantiene relaciones productivas y respetuosas con los demás</t>
  </si>
  <si>
    <t>1.  Hace uso de los Elementos de Protección personal asociados a su cargo.</t>
  </si>
  <si>
    <t>2. Reconoce los riesgos inherentes a su cargo y cumple con las recomendaciones ofrecidas para mitigarlos.</t>
  </si>
  <si>
    <t xml:space="preserve"> PLAN DE MEJORA PARA COMPETENCIAS</t>
  </si>
  <si>
    <t>COMPETENCIA A MEJORAR</t>
  </si>
  <si>
    <t>OBSERVACIONES</t>
  </si>
  <si>
    <t>OBSERVACIONES ADICIONALES</t>
  </si>
  <si>
    <t>Firma del Trabajador</t>
  </si>
  <si>
    <t>INICIATIVA / PROACTIVIDAD</t>
  </si>
  <si>
    <t>COMPROMISO Y SENTIDO DE PERTENENCIA</t>
  </si>
  <si>
    <t>DIRECCION Y LIDERAZGO</t>
  </si>
  <si>
    <t>1.  Demuestra capacidad para evaluar, analizar  y revisar con detalle la información importante con el fin de identificar los aspectos relevantes, para Coordinar o Direccionar los procesos  mediante una comunicación asertiva.</t>
  </si>
  <si>
    <t>AUTOCONTROL Y TOLERANCIA</t>
  </si>
  <si>
    <t>1. Hace uso de los formatos, documentos y demás instrucciones asociadas con el Sistema de Gestión.</t>
  </si>
  <si>
    <t>1. Utiliza herramientas adecuadas para mantener organizadas sus tareas en períodos laborales de alta exigencia</t>
  </si>
  <si>
    <t>2. Cumple con las metas e indicadores propias de su proceso teniendo en cuenta los criterios de calidad especificados para los mismos.</t>
  </si>
  <si>
    <t>3. Es cuidadoso del trato interpersonal, especialmente en periodos de alta presión, esforzándose por conservar el clima laboral</t>
  </si>
  <si>
    <t>Firma de Talento Humano</t>
  </si>
  <si>
    <t>ORIENTACION AL CLIENTE Y/o USUARIO</t>
  </si>
  <si>
    <t>1. Demuestra preocupación, amabilidad y disposición en el contacto con el usuario.</t>
  </si>
  <si>
    <t>2. Comprende que el usuario es fundamental para la institución y actua en consecuencia.</t>
  </si>
  <si>
    <t>3. Identifica necesidades y en ocasiones se anticipa a ellas aportando soluciones a la medida de los requerimientos presentados</t>
  </si>
  <si>
    <t>4.  Escucha con respeto a los usuarios internos y/o externos, incluso en situaciones críticas o de contingencia</t>
  </si>
  <si>
    <t>CALIDAD EN EL TRABAJO</t>
  </si>
  <si>
    <t>1. Maneja con discreción la información desde su puesto de trabajo y hacia la organización.</t>
  </si>
  <si>
    <t>2. Transmite sus mensajes claramente en todos los niveles de la organización.</t>
  </si>
  <si>
    <t>3. Es reconocido en su área de trabajo por ser un interlocutor confiable y por su habilidad para comprender diferentes situaciones y dar manejo a la comunicación.</t>
  </si>
  <si>
    <t>1.   Cumple con las politicas del SGI</t>
  </si>
  <si>
    <t>2. Mantiene el control ante conductas negativas de otras personas, al evaluarlas como producto de una situación de alta exigencia y no como algo personal, evita las manifestaciones de las emociones fuertes.</t>
  </si>
  <si>
    <t>4. Se mantiene sereno y firme en situaciones complejas o adversas, focalizándose en el logro de sus objetivos, aportando tranquilidad y continua funcionando bien o responde constructivamente</t>
  </si>
  <si>
    <t>2.   Posee capacidad para delegar de forma oportuna de acuerdo a las situaciones que se le presenten y al rol desempeñado;  a su vez realiza  un adecuado seguimiento de las actividades delegadas.</t>
  </si>
  <si>
    <t xml:space="preserve">3. Da retroalimentación a sus colaboradores para orientar su desarrollo y desempeño </t>
  </si>
  <si>
    <t>4.  Evita los conflictos dentro del equipo propiciando la armonia y el buen clima laboral dentro de la institución</t>
  </si>
  <si>
    <t>3. Hace uso racional de los recursos  y realiza su trabajo con orden, calidad y precisión</t>
  </si>
  <si>
    <t>FLEXIBILIDAD / ADAPTABILIDAD</t>
  </si>
  <si>
    <t>1. Se adapta a las necesidades de la Institución.</t>
  </si>
  <si>
    <t>2. Es capaz de cambiar su opinión ante nuevos argumentos o evidencias.</t>
  </si>
  <si>
    <t>3.  Posee claridad de  los objetivos del equipo  y aporta lo mejor de su trabajo para lograrlo.</t>
  </si>
  <si>
    <t>2. Demuestra interes por aprender</t>
  </si>
  <si>
    <t>SEGURIDAD Y SALUD EN EL TRABAJO</t>
  </si>
  <si>
    <t>2. Cumple con las metas e indicadores propias de su proceso teniendo en cuenta los criterios de calidad especificados para los mismos y propone acciones derivadas de los resultados.</t>
  </si>
  <si>
    <t>1. Hace uso de los formatos, documentos y demás instrucciones asociadas con el Sistema de Gestión Integral.</t>
  </si>
  <si>
    <t>3.  Participa activamente de  los programas de SST y ambientales que organice la institución (orden y aseo, medicina preventiva, programa de vigilancia epidemiologica).</t>
  </si>
  <si>
    <t>4. Cumple y hace cumplir los procedimientos y politicas de CORSALUD, comprometiendose con los cambios de manera inmediata.</t>
  </si>
  <si>
    <t>3.  Se expresa permanentemente identificado con la misión y visión de Corsalud</t>
  </si>
  <si>
    <t>1. Maneja con discreción y prudencia la información desde su puesto de trabajo y hacia la Institución.</t>
  </si>
  <si>
    <t>4.  Desarrolla y mantiene relaciones productivas y respetuosas con los demás.</t>
  </si>
  <si>
    <t>3. Es cuidadoso del trato interpersonal, especialmente en periodos de alta presión, esforzándose por conservar el clima laboral.</t>
  </si>
  <si>
    <t>1. Maneja con discreción y prudencia  la información desde su puesto de trabajo y hacia la institución.</t>
  </si>
  <si>
    <t>2. Transmite sus mensajes claramente en todos los niveles de la institución.</t>
  </si>
  <si>
    <t>1. Maneja con discreción y prudencia la información desde su puesto de trabajo y hacia la institución.</t>
  </si>
  <si>
    <t>1. Maneja con discreción la información desde su puesto de trabajo y hacia la institución.</t>
  </si>
  <si>
    <t>5. Refleja conductas integras,  no siendo  cómplice, auxiliador o encubridor de cualquier falta o delito que vaya en contra de  CORSALUD, sus superiores o compañeros de trabajo.</t>
  </si>
  <si>
    <t>4. Apoya y asiste a las actividades programadas por las diferentes dependencias de la Institución.</t>
  </si>
  <si>
    <t>2. Ejecuta sus funciones de forma adecuada, dinamica  y oportuna ejerciendo control sobre el desarrollo de las actividades propias de su cargo.</t>
  </si>
  <si>
    <t>3. Es capaz de tomar iniciativas proponiendo acciones para el desarrollo de su proceso.</t>
  </si>
  <si>
    <t>3. Cumple y hace cumplir los procedimientos y politicas de CORSALUD, comprometiendose con los cambios de manera inmediata.</t>
  </si>
  <si>
    <t>1. Denota amplio sentido de responsabilidad, fidelidad y pertenencia con la institución en todas las acciones que ejecuta dentro y como  representación de la misma. Cumple con los horarios de Trabajo y funciones asociadas.</t>
  </si>
  <si>
    <r>
      <rPr>
        <b/>
        <sz val="11"/>
        <rFont val="Arial Narrow"/>
        <family val="2"/>
      </rPr>
      <t>Código:</t>
    </r>
    <r>
      <rPr>
        <sz val="11"/>
        <rFont val="Arial Narrow"/>
        <family val="2"/>
      </rPr>
      <t xml:space="preserve"> FR-088</t>
    </r>
  </si>
  <si>
    <t>CAPACIDAD DE COMUNICACIÓN Y MANEJO DE LA INFORMACIÓN</t>
  </si>
  <si>
    <t>3. Cumple y hace cumplir los procedimientos y políticas de CORSALUD, comprometiendose con los cambios de manera inmediata.</t>
  </si>
  <si>
    <t>EVALUACIÓN DE ACTIVIDADES Y HABILIDADES DEL EMPLEADO</t>
  </si>
  <si>
    <t>4.  Escucha con respeto a los usuarios internos y/o externos, incluso en situaciones críticas o de contingencia.</t>
  </si>
  <si>
    <t>3. Identifica necesidades y en ocasiones se anticipa a ellas aportando soluciones a la medida de los requerimientos presentados.</t>
  </si>
  <si>
    <t>1.  Es capaz de prever las consecuencias de sus acciones para el beneficio de su proceso.</t>
  </si>
  <si>
    <t>ACOSTA OCHOA SANDRA</t>
  </si>
  <si>
    <t>COORDINADORA DESARROLLO HUMANO</t>
  </si>
  <si>
    <t>SECRETARIA ADMISIONES</t>
  </si>
  <si>
    <t>DIRECTORA CEEP</t>
  </si>
  <si>
    <t>BLANCO VARGAS ELIAS ANTONIO</t>
  </si>
  <si>
    <t>BUELVAS SALGADO CAROLAIN</t>
  </si>
  <si>
    <t>CAMPO MERCADO  ERWIN</t>
  </si>
  <si>
    <t xml:space="preserve">DIRECTOR PROGRAMA DE RADIOLOGIA </t>
  </si>
  <si>
    <t>CARDONA CUNHA  GLENDA</t>
  </si>
  <si>
    <t>CASTILLO JIMENEZ  CESAR DARIO</t>
  </si>
  <si>
    <t>DIRECTOR PORGRAMA CONTADURIA Y FINANZAS INTERNACIONALES</t>
  </si>
  <si>
    <t>CERVANTES DIAZ SHIRLEY</t>
  </si>
  <si>
    <t>DIRECTORA TALENTO HUMANO</t>
  </si>
  <si>
    <t>CORONEL MARIANO YOLANDA</t>
  </si>
  <si>
    <t>SECRETARIA BIENESTAR UNIVERSITARIO</t>
  </si>
  <si>
    <t>CUETO VALENCIA  EDER JOSE</t>
  </si>
  <si>
    <t>COORDINADOR DEPORTE Y CULTURA</t>
  </si>
  <si>
    <t>AUXILIAR ARCHIVO</t>
  </si>
  <si>
    <t>DIAZ OROZCO OLGA MARCELA</t>
  </si>
  <si>
    <t>COORDINADORA DEL CITEC</t>
  </si>
  <si>
    <t>DIRECTORA PLANEACION</t>
  </si>
  <si>
    <t>GUTIERREZ RETAMOSO MAURE</t>
  </si>
  <si>
    <t>RECTORA</t>
  </si>
  <si>
    <t>GOMEZ LIMA MARTHA</t>
  </si>
  <si>
    <t>DIRECTORA BIENESTAR UNIVERSITARIO</t>
  </si>
  <si>
    <t>GOMEZ PADILLA ADOLFO</t>
  </si>
  <si>
    <t>PRESIDENTE</t>
  </si>
  <si>
    <t>GUTIERREZ TOBIAS GISELLA</t>
  </si>
  <si>
    <t>ENFERMERA</t>
  </si>
  <si>
    <t>JANICA FLORES MAYRA PATRICIA</t>
  </si>
  <si>
    <t>JEFE UNIDAD CONTABLE Y FINANCIERA</t>
  </si>
  <si>
    <t>LEON GARCIA MARCELA</t>
  </si>
  <si>
    <t>DIRECTORA CITEC</t>
  </si>
  <si>
    <t>LORA SERRANO DANIELA</t>
  </si>
  <si>
    <t>MATEUS CABRERA FRANCISCO</t>
  </si>
  <si>
    <t>SERVICIOS GENERALES</t>
  </si>
  <si>
    <t>MARTINEZ VARGAS LILIANA</t>
  </si>
  <si>
    <t>VICERECTORA ACADEMICA</t>
  </si>
  <si>
    <t>MEJIA AVILA CRIS</t>
  </si>
  <si>
    <t>MERCADO MARTINEZ MANUEL</t>
  </si>
  <si>
    <t>AUXILIAR BIBLIOTECA</t>
  </si>
  <si>
    <t>MENCO ARRIETA KARINA</t>
  </si>
  <si>
    <t>ASISTENTE RECTORIA PRESIDENCIA</t>
  </si>
  <si>
    <t>MONTAÑO MONTAÑO NADIA</t>
  </si>
  <si>
    <t>MONTERROZA ALMARALES EVERT</t>
  </si>
  <si>
    <t>MENSAJERO</t>
  </si>
  <si>
    <t>PACHECO MOLINA ANTONIO JOSE</t>
  </si>
  <si>
    <t>DIRECTOR PROGRAMA SST</t>
  </si>
  <si>
    <t>PADRON MONTES KARIN</t>
  </si>
  <si>
    <t>TESORERA</t>
  </si>
  <si>
    <t>PEREIRA CARRASCAL SADIA</t>
  </si>
  <si>
    <t>COORDINADORA DE PRACTICAS RADIOLOGIA</t>
  </si>
  <si>
    <t>REYES SIERRA LUIS ALFREDO</t>
  </si>
  <si>
    <t>DIRECTOR BIBLIOTECA</t>
  </si>
  <si>
    <t>MEDICO BIENESTAR</t>
  </si>
  <si>
    <t>SANCHEZ MAJANA MARIA DEL CARMEN</t>
  </si>
  <si>
    <t>VICEPRESIDENTE</t>
  </si>
  <si>
    <t>SANTOS ZOILA ROSA</t>
  </si>
  <si>
    <t>SANTO HERNANDEZ  RAFAEL</t>
  </si>
  <si>
    <t>SANTIAGO GUTIERREZ ALFONSO</t>
  </si>
  <si>
    <t>JEFE DE MANTENIMIENTO</t>
  </si>
  <si>
    <t>TORRES CHIMA EVELIN</t>
  </si>
  <si>
    <t>AUXILIAR ENFERMERIA</t>
  </si>
  <si>
    <t>TRABAJADOR</t>
  </si>
  <si>
    <t>CARGO</t>
  </si>
  <si>
    <t>PROCESO</t>
  </si>
  <si>
    <t>EVALUADOR</t>
  </si>
  <si>
    <t>GESTION DE BIENESTAR UNIVERSITARIO</t>
  </si>
  <si>
    <t>MARTHA GOMEZ LIMA</t>
  </si>
  <si>
    <t>DESARROLLO ORGANIZACIONAL</t>
  </si>
  <si>
    <t>PROYECCION Y EXTENSION</t>
  </si>
  <si>
    <t>LUZ STELLA GOMEZ LIMA</t>
  </si>
  <si>
    <t>DIRECTOR DE SISTEMAS</t>
  </si>
  <si>
    <t>GESTION DE RECURSOS ACADEMICOS INFRAESTRUCTURA Y CAMPUS</t>
  </si>
  <si>
    <t>SECRETARIA ADMINISTRATIVA</t>
  </si>
  <si>
    <t>SHIRLEY CERVANTES DIAZ</t>
  </si>
  <si>
    <t>DOCENCIA</t>
  </si>
  <si>
    <t>LILIANA MARTINEZ VARGAS</t>
  </si>
  <si>
    <t>ASISTENTE ADMISIONES</t>
  </si>
  <si>
    <t>INVESTIGACION</t>
  </si>
  <si>
    <t>MARCELA LEON GARCIA</t>
  </si>
  <si>
    <t>PLANEACION</t>
  </si>
  <si>
    <t>DIRECCIONAMIENTO ESTRATEGIGO</t>
  </si>
  <si>
    <t>ADOLFO GOMEZ PADILLA</t>
  </si>
  <si>
    <t>GESTION FINANCIERA Y CONTABLE</t>
  </si>
  <si>
    <t>SISTEMA DE GESTION INTEGRAL</t>
  </si>
  <si>
    <t>ALFONSO SANTIAGO GUTIERREZ</t>
  </si>
  <si>
    <t>LUIS REYES SIERRA</t>
  </si>
  <si>
    <t xml:space="preserve">DIRECTORA PROGRAMA DE  ESPECIALIZACION </t>
  </si>
  <si>
    <t>MAYRA JANICA FLORES</t>
  </si>
  <si>
    <t>DIRECTORA ADMISIONES</t>
  </si>
  <si>
    <t>EVALUACION DE DESEMPEÑO</t>
  </si>
  <si>
    <t>DESARROLLO DE HABILIDADES BUENO</t>
  </si>
  <si>
    <t>DESARROLLO DE HABILIDADES REGULAR</t>
  </si>
  <si>
    <t>DESARROLLO DE HABILIDADES NO ACEPTABLES</t>
  </si>
  <si>
    <t>DESARROLLO DE HABILIDADES MUY BUENAS</t>
  </si>
  <si>
    <t>DESARROLLO DE HABILIDADES EXCELENTES</t>
  </si>
  <si>
    <t>AUX.ARCHIVO - BIBLIOTECA</t>
  </si>
  <si>
    <t>AUX.DE ENFERMERIA</t>
  </si>
  <si>
    <t>SECRETARIAS</t>
  </si>
  <si>
    <t>ASISTENTE</t>
  </si>
  <si>
    <t>COORDINADORES</t>
  </si>
  <si>
    <t>DIRECTORES - JEFES</t>
  </si>
  <si>
    <t>B15:b20</t>
  </si>
  <si>
    <t>B21:b25</t>
  </si>
  <si>
    <t>B26:b30</t>
  </si>
  <si>
    <t>B31:b34</t>
  </si>
  <si>
    <t>B35:b38</t>
  </si>
  <si>
    <t>B39:b42</t>
  </si>
  <si>
    <t>B43:b46</t>
  </si>
  <si>
    <t>B15:b18</t>
  </si>
  <si>
    <t>B19:b24</t>
  </si>
  <si>
    <t>B25:b29</t>
  </si>
  <si>
    <t>B30:b34</t>
  </si>
  <si>
    <t>B35:b39</t>
  </si>
  <si>
    <t>B40:b43</t>
  </si>
  <si>
    <t>B44:b48</t>
  </si>
  <si>
    <t>B49:b52</t>
  </si>
  <si>
    <t>B53:b56</t>
  </si>
  <si>
    <t>B57:b60</t>
  </si>
  <si>
    <t>CALIFICACION</t>
  </si>
  <si>
    <t>Total</t>
  </si>
  <si>
    <t>Total general</t>
  </si>
  <si>
    <t xml:space="preserve">CARGO : </t>
  </si>
  <si>
    <t xml:space="preserve">PROCESO : </t>
  </si>
  <si>
    <t>MENU PRINCIPAL</t>
  </si>
  <si>
    <t>FECHA :</t>
  </si>
  <si>
    <t>HORA :</t>
  </si>
  <si>
    <t>FORMATOS DE EVALUACION</t>
  </si>
  <si>
    <t>MODULO</t>
  </si>
  <si>
    <t>PERSONAL ADMINISTRATIVO</t>
  </si>
  <si>
    <t>CORPORACION UNIVERSITARIA DE CIENCIAS EMPRESARIALES ,EDUCACION Y SALUD.</t>
  </si>
  <si>
    <t>EMPLEADO</t>
  </si>
  <si>
    <t>FECHA</t>
  </si>
  <si>
    <t>EVALUADO POR</t>
  </si>
  <si>
    <t>FORMATO</t>
  </si>
  <si>
    <t>CRITERIO</t>
  </si>
  <si>
    <t>PUNTOSXCOMP</t>
  </si>
  <si>
    <t>TOTALPUNTOS</t>
  </si>
  <si>
    <t>COMPM1</t>
  </si>
  <si>
    <t>COMPM2</t>
  </si>
  <si>
    <t>COMPM3</t>
  </si>
  <si>
    <t>OBSCP1</t>
  </si>
  <si>
    <t>OBSCP2</t>
  </si>
  <si>
    <t>OBSCP3</t>
  </si>
  <si>
    <t>OBSADIC1</t>
  </si>
  <si>
    <t>OBSADIC2</t>
  </si>
  <si>
    <t>OBSADIC3</t>
  </si>
  <si>
    <t>HORAREG</t>
  </si>
  <si>
    <t>SECRETARIA GENERAL</t>
  </si>
  <si>
    <t>FECHA DE EVAL. :</t>
  </si>
  <si>
    <t>AUTOEVALUACION</t>
  </si>
  <si>
    <t>EVALUACION A FUNCIONARIOS</t>
  </si>
  <si>
    <t xml:space="preserve"> CLASIFICACION FORMATO :</t>
  </si>
  <si>
    <t>CLASIFICACION</t>
  </si>
  <si>
    <t>FECEVALANT</t>
  </si>
  <si>
    <t>B47:b50</t>
  </si>
  <si>
    <t>m15:m17</t>
  </si>
  <si>
    <t>m19:m23</t>
  </si>
  <si>
    <t>m25:m28</t>
  </si>
  <si>
    <t>m30:m33</t>
  </si>
  <si>
    <t>m35:m37</t>
  </si>
  <si>
    <t>m39:m41</t>
  </si>
  <si>
    <t>m47:m49</t>
  </si>
  <si>
    <t>m43:m45</t>
  </si>
  <si>
    <t>m15:m19</t>
  </si>
  <si>
    <t>m21:m24</t>
  </si>
  <si>
    <t>m26:m29</t>
  </si>
  <si>
    <t>m31:m33</t>
  </si>
  <si>
    <t>m35:m38</t>
  </si>
  <si>
    <t>m40:m42</t>
  </si>
  <si>
    <t>m44:m47</t>
  </si>
  <si>
    <t>m49:m51</t>
  </si>
  <si>
    <t>m53:m55</t>
  </si>
  <si>
    <t>B44:b47</t>
  </si>
  <si>
    <t>B48:b51</t>
  </si>
  <si>
    <t>B52:b55</t>
  </si>
  <si>
    <t>m44:m46</t>
  </si>
  <si>
    <t>m48:m50</t>
  </si>
  <si>
    <t>m52:m54</t>
  </si>
  <si>
    <t>m57:m59</t>
  </si>
  <si>
    <t>Suma de CALIFICACION</t>
  </si>
  <si>
    <t>SILVA YAIR</t>
  </si>
  <si>
    <t>COORDINADOR EGRESADOS</t>
  </si>
  <si>
    <t>ASISTENTE SISTEMAS</t>
  </si>
  <si>
    <t>FECHAANT</t>
  </si>
  <si>
    <t>PRESIDENCIA</t>
  </si>
  <si>
    <t>VICEPRESIDENCIA</t>
  </si>
  <si>
    <t>GOMEZ LIMA LUZ STELLA</t>
  </si>
  <si>
    <t>COORDINADORA DE SGI</t>
  </si>
  <si>
    <t>DIAZ OROZCO OLGA MARCELA (2)</t>
  </si>
  <si>
    <t>JANICA FLORES MAYRA PATRICIA (2)</t>
  </si>
  <si>
    <t>PADRON MONTES KARIN (2)</t>
  </si>
  <si>
    <t>PEREIRA CARRASCAL SADIA (2)</t>
  </si>
  <si>
    <t>BUELVAS SALGADO CAROLAIN (2)</t>
  </si>
  <si>
    <t>NINGUNO</t>
  </si>
  <si>
    <t>LOPEZ VALDERRAMA DANIELA</t>
  </si>
  <si>
    <t>QUINTERO SIERRA ISAAC</t>
  </si>
  <si>
    <t xml:space="preserve">SAN JUAN SANCHEZ SANDRA </t>
  </si>
  <si>
    <t>DIAZTAGLE OSPINO ANDRES</t>
  </si>
  <si>
    <t>BULA CAMPILLO KIRK</t>
  </si>
  <si>
    <t>SENIOR GONZALEZ JOHANNA PATRICIA</t>
  </si>
  <si>
    <t>SENIOR GONZALEZ JOHANNA PATRICIA (2)</t>
  </si>
  <si>
    <t>JOHANNA PATRICIA SENIOR GONZALEZ</t>
  </si>
  <si>
    <t>SILVA YAIR (2)</t>
  </si>
  <si>
    <t>SURMAY KEVIN</t>
  </si>
  <si>
    <t>PROPUESTA PREGUNTAS</t>
  </si>
  <si>
    <t>Talento Humano</t>
  </si>
  <si>
    <t>COMPORTAMIENTO ASOCIADOS</t>
  </si>
  <si>
    <t>NIVEL DEL CARGO</t>
  </si>
  <si>
    <t>1.  Es capaz de preveer las consecuencias de sus acciones para el beneficio de su proceso.</t>
  </si>
  <si>
    <t>2. Es capaz de tomar iniciativas para mejorar su trabajo, sugiere ideas o propone acciones para el desarrollo de su proceso.</t>
  </si>
  <si>
    <t>TODOS</t>
  </si>
  <si>
    <t>3. Toma  las  acciones para el logro de los objetivos propuestos dentro de su cargo.</t>
  </si>
  <si>
    <t>3. Identifica necesidades y en ocasiones se anticipa a ellas aportando soluciones a la medida de los requerimientos presentados por el cliente y/o usuario.</t>
  </si>
  <si>
    <t>1. Colabora de forma continua con sus jefes, colaboradores y/o compañeros de trabajo y se interesa por contribuir en el proceso.</t>
  </si>
  <si>
    <t>2. Es cuidadoso del trato interpersonal, especialmente en periodos de alta presión, esforzándose por conservar el  buen clima laboral</t>
  </si>
  <si>
    <t>3. Se mantiene sereno y firme en situaciones complejas o adversas, focalizándose en el logro de sus objetivos, aportando tranquilidad y continua funcionando bien o responde constructivamente, evita manifestaciones de emociones fuertes.</t>
  </si>
  <si>
    <t>4. Utiliza los canales de comunicación dispuesto por la Institución.</t>
  </si>
  <si>
    <t>2.   Posee capacidad para delegar de forma oportuna de acuerdo a las situaciones que se le presenten, a su vez realiza  un adecuado seguimiento de las actividades delegadas, generando retroalimentación a tiempo.</t>
  </si>
  <si>
    <t>3. Motiva o influye sobre el personal a su cargo o compañeros de trabajo, de forma positiva como referente a seguir.</t>
  </si>
  <si>
    <t xml:space="preserve">DIRECTORES </t>
  </si>
  <si>
    <t>2. Realiza su trabajo oportunamente, con orden, calidad y confiabilidad (la información plasmada es precisa y veraz)</t>
  </si>
  <si>
    <t>3. Hace uso racional de los recursos  aportando desde su puesto de trabajo a la conservación del medio ambiente.</t>
  </si>
  <si>
    <t>2. Reconoce los riesgos inherentes a su cargo y adopta las medidas de control establecidas.</t>
  </si>
  <si>
    <t>SEGUIMIENTO, MEDICIÓN Y EVALUACIÓN</t>
  </si>
  <si>
    <t>DIRECTORES</t>
  </si>
  <si>
    <t>2. Cumple las metas en los periodos de tiempo establecidos</t>
  </si>
  <si>
    <t>1. Ha aportado al cumplimiento de las metas de su proceso apoyando al lider</t>
  </si>
  <si>
    <t>COORD, ASIST. AUX.</t>
  </si>
  <si>
    <t>1.  Aporta usted al cumplimiento de la Politica del SGI.</t>
  </si>
  <si>
    <t>1. Hace uso  permanente  y cumple con lo descrito en la información documentada como procedimientos, instructivos , formatos  asociadas a su proceso controladas desde el Sistema de Gestión.</t>
  </si>
  <si>
    <t xml:space="preserve">1. Denota amplio sentido de responsabilidad, fidelidad y pertenencia con la Institución en todas las acciones que ejecuta dentro y como  representación de la misma. </t>
  </si>
  <si>
    <t>3. Propone acciones en el caso de incumplimiento de metas</t>
  </si>
  <si>
    <t xml:space="preserve">GESTION DE CONOCIMIENTO :  Transfiere el conocimiento y  la experiencia  para  utilizarlos como recurso disponible  en la Institución. Pone al alcance de cada trabajador la información necesaria, en el momento adecuado, para que su actividad sea efectiva. </t>
  </si>
  <si>
    <t>1.  Identifica el conocimiento cómo un activo propio y organizacional e invita a los demás para que también lo hagan.</t>
  </si>
  <si>
    <t>2.  Localiza nuevas fuentes de información y las integra a los conocimientos actuales de la organización.</t>
  </si>
  <si>
    <t>3. Sigue el procedimiento institucional para salvaguardar el conocimiento y lo mantiene actualizado.</t>
  </si>
  <si>
    <t>INICIATIVA / PROACTIVIDAD :  Es la capacidad de dar respuesta rápida a la solución de problemas. Se cuenta con el poder de tomar iniciativa para   decisiones ante situaciones en las que se requiere ser proactivos y tener capacidad para hacer propuestas de solución a futuros inconvenientes.</t>
  </si>
  <si>
    <t>COMPETENCIA Y SUS RESPECTIVOS CRITERIOS</t>
  </si>
  <si>
    <t>COMPROMISO Y SENTIDO DE PERTENENCIA :  Se identifica con los valores y cultura organizacional y actúa de manera que estos se vean reflejados en cada actividad realizada, lo que le da sentido a las prácticas cotidianas y al manejo de un lenguaje común.  Asume las consecuencias de las propias decisiones y da respuesta de los propios actos y se interesa por cumplir a cabalidad con las tareas asignadas.</t>
  </si>
  <si>
    <t xml:space="preserve">ORIENTACION AL CLIENTE Y/o USUARIO :  Demuestra actitud por detectar y satisfacer las necesidades y prioridades de los clientes internos y externos dando cuenta de empatía y sensibilidad por las necesidades de éstos y brinda orientaciones y/o soluciones ágiles a partir del conocimiento de las cualidades de los servicios que se ofertan en la institución; genera ambientes de comunicabilidad basados en la cortesía y despertando confianza en el servicio. </t>
  </si>
  <si>
    <t xml:space="preserve">TRABAJO EN EQUIPO :  Asume su rol y demuestra responsabilidad en la entrega de productos ante una tarea colectiva en pro del alcance de objetivos comunes, denotando actitudes de coordinación, complementariedad, esfuerzo integrado, respeto por los puntos de vista planteados por los miembros del equipo, búsqueda de consensos, manejo de los tiempos acordados y el empleo de canales y formas de comunicación establecidos.  </t>
  </si>
  <si>
    <t xml:space="preserve">AUTOCONTROL Y TOLERANCIA :   Capacidad para enfrentar las situaciones de tensión y mantener un adecuado control de sus emociones, lo que implica trabajar continuamente por un objetivo aunque las circunstancias sean adversas, tambien de actuar con tolerancia bajo momentos en los cuales existe cierta intensidad laboral sin alterar su conducta laboral, respeta los valores fundamentales de las personas y reconoce dichos valores en cada una de ellas en pro de la consolidación de ambientes de paz.  </t>
  </si>
  <si>
    <t xml:space="preserve">CAPACIDAD DE COMUNICACIÓN Y MANEJO DE LA INFORMACIÓN :  Demuestra receptividad ante las orientaciones dadas, hace preguntas para disipar dudas, expresa conceptos e ideas de forma efectiva y proactiva; accede  a la información de forma eficiente – medios digitales e impresos y evalúa los hallazgos de forma crítica, empleándola de forma creativa y ética al consolidar documentos institucionales. </t>
  </si>
  <si>
    <t>DIRECCION Y LIDERAZGO :  Fija objetivos y plantea estrategias para lograrlos, recreando escenarios futuros y corrigiendo las desviaciones que se produzcan empleando la retroalimentación continúa; contagia a sus compañeros para que alcancen objetivos; hace reconocimiento de la contribución al equipo,   toma iniciativas que sabe comunicar con convicción, coherencia y respeto.</t>
  </si>
  <si>
    <t>FLEXIBILIDAD / ADAPTABILIDAD :  Se adapta a los continuos cambios que afectan el contexto interno y externo de la organización demostrando disposición para la mejora continua y conciencia situacional con miras a un funcionamiento organizacional más efectivo ante los resultados deseados.</t>
  </si>
  <si>
    <t>CALIDAD EN EL TRABAJO :  Cuenta con conocimientos para realizar y mantener el control del trabajo  con la máxima calidad,  presta un servicio que responde a las expectativas de los clientes –internos y externos- dando valor agregado y generando satisfacción para con la organización.</t>
  </si>
  <si>
    <t>SEGURIDAD Y SALUD EN EL TRABAJO :  Demuestra actitud proactiva para emprender acciones de prevención, denotando compromiso por la seguridad personal y del equipo y adoptando las orientaciones sobre la promoción de la salud buscando una mejora efectiva en las condiciones de vida y de trabajo de la población laboralmente activa.</t>
  </si>
  <si>
    <t>DIRECTORES /JEFES / COORDINADORES</t>
  </si>
  <si>
    <t>SEGUIMIENTO, MEDICIÓN Y EVALUACIÓN :  Domina la metodología de evaluación adoptada por la organización y hace seguimiento al comportamiento de los indicadores del proceso asignado en pro del logro de los objetivos propuestos; lleva registro de los seguimientos e implementa acciones de mejora continua tomando conciencia del grado de madurez o evolución del proceso.</t>
  </si>
  <si>
    <t>INSTRUMENTO EVALUACIÓN DE DESEMPEÑO</t>
  </si>
  <si>
    <r>
      <rPr>
        <b/>
        <sz val="11"/>
        <rFont val="Arial Narrow"/>
        <family val="2"/>
      </rPr>
      <t xml:space="preserve">Versión: </t>
    </r>
    <r>
      <rPr>
        <sz val="11"/>
        <rFont val="Arial Narrow"/>
        <family val="2"/>
      </rPr>
      <t>03</t>
    </r>
  </si>
  <si>
    <t>VIGENCIA AÑO 2020</t>
  </si>
  <si>
    <r>
      <rPr>
        <b/>
        <sz val="11"/>
        <rFont val="Arial Narrow"/>
        <family val="2"/>
      </rPr>
      <t>Fecha:</t>
    </r>
    <r>
      <rPr>
        <sz val="11"/>
        <rFont val="Arial Narrow"/>
        <family val="2"/>
      </rPr>
      <t xml:space="preserve"> 28-10-2019</t>
    </r>
  </si>
  <si>
    <t xml:space="preserve">NOMBRE DEL EMPLEADO :  </t>
  </si>
  <si>
    <t>FECHA DE EVAL. ANT :</t>
  </si>
  <si>
    <t>TIPOS DE EVALUACIÓN :</t>
  </si>
  <si>
    <t>Asigne un valor para cada uno de los conceptos a evaluar, de acuerdo a la siguiente escala :</t>
  </si>
  <si>
    <t>1. Es capaz de prever las consecuencias de sus acciones para el beneficio de su proceso.</t>
  </si>
  <si>
    <t>2. Es capaz de tomar iniciativas para mejorar su trabajo, sugiere ideas, soluciones o propone acciones para el desarrollo de su proceso.</t>
  </si>
  <si>
    <t>1. Denota amplio sentido de responsabilidad, fidelidad y pertenencia con la Institución en todas las acciones que ejecuta dentro y como  representación de la misma, cumple con las funciones y responsabilidades del cargo.</t>
  </si>
  <si>
    <t>B19:b22</t>
  </si>
  <si>
    <t>2. Se expresa permanentemente identificado con la misión y visión de Corsalud y refleja conductas integras.</t>
  </si>
  <si>
    <t>3. Apoya y participa activamente de las actividades programadas por las diferentes dependencias de la Institución.</t>
  </si>
  <si>
    <t>m19:m21</t>
  </si>
  <si>
    <t>B23:b26</t>
  </si>
  <si>
    <t>m23:m25</t>
  </si>
  <si>
    <t>B27:b30</t>
  </si>
  <si>
    <t>3. Promueve y tiene actitud de trabajo en equipo.</t>
  </si>
  <si>
    <t>m27:m29</t>
  </si>
  <si>
    <t>1. Demuestra capacidad para  revisar, analizar y evaluar con detalle la información importante,  con el fin de identificar los aspectos relevantes, para liderar los procesos  mediante una comunicación asertiva.</t>
  </si>
  <si>
    <t>B40:b45</t>
  </si>
  <si>
    <t>2. Posee capacidad para delegar de forma oportuna de acuerdo a las situaciones que se le presenten, a su vez realiza  un adecuado seguimiento de las actividades delegadas, generando retroalimentación a tiempo.</t>
  </si>
  <si>
    <t>4. Reconoce y valora los aportes que hacen los miembros del equipo y no los asume como de su autoria.</t>
  </si>
  <si>
    <t>5. Evita y resuelve los conflictos  del equipo  de trabajo, propiciando la armonia y el buen clima laboral en la institución.</t>
  </si>
  <si>
    <t>m40:m44</t>
  </si>
  <si>
    <t>B46:b49</t>
  </si>
  <si>
    <t>m46:m48</t>
  </si>
  <si>
    <t>1. Hace uso de los  documentos, formatos y demás instrucciones asociadas con el Sistema de Gestión, diseñados para su proceso.</t>
  </si>
  <si>
    <t>B50:b53</t>
  </si>
  <si>
    <t>m50:m52</t>
  </si>
  <si>
    <t>1. Cumple con las politicas del SGI</t>
  </si>
  <si>
    <t>B54:b57</t>
  </si>
  <si>
    <t xml:space="preserve">3. Genera desde su proceso acciones de mejora continua. </t>
  </si>
  <si>
    <t>m54:m56</t>
  </si>
  <si>
    <t>1. Realiza Seguimiento de cumplimiento de las metas</t>
  </si>
  <si>
    <t>B58:b62</t>
  </si>
  <si>
    <t>4. Cumple y hace cumplir las normas institucionales.</t>
  </si>
  <si>
    <t>m58:m61</t>
  </si>
  <si>
    <t>B63:b66</t>
  </si>
  <si>
    <t>m63:m65</t>
  </si>
  <si>
    <t xml:space="preserve"> Asigne un valor para cada uno de los conceptos a evaluar, de acuerdo a la siguiente escala :</t>
  </si>
  <si>
    <t xml:space="preserve">NOMBRE DEL EMPLEADO :      </t>
  </si>
  <si>
    <t>COMPETENCIAS EVALUADAS</t>
  </si>
  <si>
    <t>GESTION DE CONOCIMIENTO</t>
  </si>
  <si>
    <t>TOTAL CALIFICACIÓN EVALUACIÓN :</t>
  </si>
  <si>
    <t>RESPUESTA OBLIGATORIA</t>
  </si>
  <si>
    <t>Participe expresando que necesidad de formación cree usted que requiere para fortalecer sus competencias en su desarrollo profesional y del SGI.</t>
  </si>
  <si>
    <t>4. Presenta  de forma adecuada y acorde al  nivel de su cargo las solicitudes, informes, reportes para atender requerimientos internos y externos.</t>
  </si>
  <si>
    <t>2. Cumple con las funciones y responsabilidades propias de su cargo alineadas al significado de sentido de pertenencia institucional.</t>
  </si>
  <si>
    <t>1. Aporta de forma continua con sus jefes, colaboradores y/o compañeros de trabajo y se interesa por contribuir en el proceso.</t>
  </si>
  <si>
    <t>4. Utiliza los canales de comunicación dispuestos por la Institución.</t>
  </si>
  <si>
    <t>5. Respeta el conducto regular establecido por la instituciòn para dar tràmite a solucitudes, requerimientos y situaciones propias de su cargo.</t>
  </si>
  <si>
    <t>1.  Demuestra capacidad para  revisar, analizar y evaluar con detalle la información importante,  con el fin de identificar los aspectos relevantes para liderar los procesos.</t>
  </si>
  <si>
    <t>4. Brinda la información  completa y de manera oportuna a las dependencias relacionadas a su proceso</t>
  </si>
  <si>
    <t>5. Transfiere el conocimiento adquirido a su equipo de trabajo o a las areas que apliquen para el cumplimiento de las metas institucionales.</t>
  </si>
  <si>
    <t>EVALUACION DE DESEMPEÑO 2022</t>
  </si>
  <si>
    <t>SEGUIMIENTO, MEDICIÓN Y EVALUACIÓN :  Domina la metodología de evaluación adoptada por la institución y hace seguimiento al comportamiento de los indicadores del proceso asignado en pro del logro de los objetivos propuestos, lleva registro de los seguimientos e implementa acciones de mejora continua tomando conciencia del grado de madurez o evolución del proceso.</t>
  </si>
  <si>
    <t>3. Cumple y hace cumplir los procedimientos y politicas de UNICORSALUD, comprometiendose con los cambios de manera inmediata.</t>
  </si>
  <si>
    <t>VALORES INSTITUCIONALES :  Se identifica con los valores y cultura organizacional y actúa de manera que estos se vean reflejados en cada actividad realizada.</t>
  </si>
  <si>
    <t>COMPROMISO Y SENTIDO DE PERTENENCIA : La identificación  y compormiso que se tiene con la institución, creando vinculo y se siente comprometido a hacer las cosas bien, colaborar con el equipo y hablar a los demás de su trabajo, de la empresa, los compañeros o el jefe de manera positiva,   asume las consecuencias de las propias decisiones y da respuesta de los propios actos y se interesa por cumplir a cabalidad con las tareas asignadas.</t>
  </si>
  <si>
    <t>1. Conoce  los valores y principios institucionales y sì es asì  usted  actua acorde a estos.</t>
  </si>
  <si>
    <t>2  Se expresa permanentemente identificado con la misión y visión de Unicorsalud y refleja conductas integras.</t>
  </si>
  <si>
    <t>3. Toma  las  acciones  a tiempo para el logro de los objetivos propuestos dentro de su cargo.</t>
  </si>
  <si>
    <t>2. Transmite sus mensajes a tiempo  de manera asertiva en todos los niveles de la organización.</t>
  </si>
  <si>
    <t>3. Se siente comprometido a dar  en ocasiones, un esfuerzo adicional por el bien de la instituión.</t>
  </si>
  <si>
    <t>4. Apoya y participa activamente a todas las actividades programadas por las diferentes dependencias de la Institución.</t>
  </si>
  <si>
    <t>RESPUESTA OBLIGATORIA OBLIGATORIA</t>
  </si>
  <si>
    <t>2. Mantiene sus emociones y su comportamiento bajo control, incluso durante situaciones de mucha presión</t>
  </si>
  <si>
    <t>5, Inspira en los demás el crecimiento y el aprendizaje continuo.</t>
  </si>
  <si>
    <t>3.  Adopta una actitud abierta al cambio y la innovación.</t>
  </si>
  <si>
    <t>4. Responde constructivamente ante los errores de los demás</t>
  </si>
  <si>
    <t>5. Trata a los demás de forma respetuosa</t>
  </si>
  <si>
    <t>4. Coloca a disposición  sus conocmientos, habilidades y destrezas para contrinuir a fortalecer el desempeño laboral de de su equipo de trabajo y compañeros.</t>
  </si>
  <si>
    <t>2. Realiza su trabajo, con orden, calidad y confiabilidad (la información plasmada es precisa y veraz)</t>
  </si>
  <si>
    <t>5. Realiza el desempeño de sus funciones sin necesidad de supervisión</t>
  </si>
  <si>
    <t>5. Promueve el trabajo colaborativo.</t>
  </si>
  <si>
    <t>5. Optimiza la gestión del tiempo para la entrega oportuna del trabajo de acuerdo a las fechas estipuladas.</t>
  </si>
  <si>
    <r>
      <t xml:space="preserve">3. Propone </t>
    </r>
    <r>
      <rPr>
        <sz val="12"/>
        <color theme="4"/>
        <rFont val="Arial Narrow"/>
        <family val="2"/>
      </rPr>
      <t>y desarrolla</t>
    </r>
    <r>
      <rPr>
        <sz val="12"/>
        <color theme="1"/>
        <rFont val="Arial Narrow"/>
        <family val="2"/>
      </rPr>
      <t xml:space="preserve"> acciones en el caso de incumplimiento de metas</t>
    </r>
  </si>
  <si>
    <t>1.Realiza seguimiento y reportes de cumplimiento de los objetivos e indicadores establecidos en su proceso a travès de los planes de acciòn anual</t>
  </si>
  <si>
    <t xml:space="preserve">4. Genera, comunica y documenta desde su proceso acciones de mejora continua. </t>
  </si>
  <si>
    <t xml:space="preserve">3.  Participa en los procesos de participación, consulta y rendición de cuentas desde su rol como trabajador. </t>
  </si>
  <si>
    <t>4. Puede desarrollar otras tareas con versatilidad.</t>
  </si>
  <si>
    <t>4. Toma decisiones que tienden al buen desempeño y a la calidad total de mi trabajo.</t>
  </si>
  <si>
    <t>4. Toma decisiones que tienden al buen desempeño y a la calidad total de su trabajo.</t>
  </si>
  <si>
    <t>4. Coloca a disposición  sus conocmientos, habilidades y destrezas para contribuir a fortalecer el desempeño laboral de de su equipo de trabajo y compañeros.</t>
  </si>
  <si>
    <t xml:space="preserve">3.  Participa en los procesos de Participación, consulta y rendición de cuentas desde su rol como trabajador.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</si>
</sst>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dd/mm/yyyy;@"/>
  </numFmts>
  <fonts count="84"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12"/>
      <name val="Arial Narrow"/>
      <family val="2"/>
    </font>
    <font>
      <b/>
      <sz val="12"/>
      <name val="Arial Narrow"/>
      <family val="2"/>
    </font>
    <font>
      <sz val="11"/>
      <name val="Arial Narrow"/>
      <family val="2"/>
    </font>
    <font>
      <b/>
      <sz val="11"/>
      <name val="Arial Narrow"/>
      <family val="2"/>
    </font>
    <font>
      <b/>
      <sz val="12"/>
      <color indexed="8"/>
      <name val="Arial Narrow"/>
      <family val="2"/>
    </font>
    <font>
      <sz val="12"/>
      <color indexed="8"/>
      <name val="Arial Narrow"/>
      <family val="2"/>
    </font>
    <font>
      <b/>
      <sz val="12"/>
      <color indexed="10"/>
      <name val="Arial Narrow"/>
      <family val="2"/>
    </font>
    <font>
      <b/>
      <sz val="12"/>
      <color theme="0"/>
      <name val="Arial Narrow"/>
      <family val="2"/>
    </font>
    <font>
      <b/>
      <sz val="11"/>
      <color theme="0"/>
      <name val="Arial Narrow"/>
      <family val="2"/>
    </font>
    <font>
      <b/>
      <sz val="11"/>
      <color indexed="8"/>
      <name val="Arial Narrow"/>
      <family val="2"/>
    </font>
    <font>
      <sz val="11"/>
      <name val="Arial"/>
      <family val="2"/>
    </font>
    <font>
      <sz val="8"/>
      <name val="Arial Narrow"/>
      <family val="2"/>
    </font>
    <font>
      <b/>
      <sz val="14"/>
      <color rgb="FF0000FF"/>
      <name val="Arial"/>
      <family val="2"/>
    </font>
    <font>
      <sz val="12"/>
      <color theme="0"/>
      <name val="Arial Narrow"/>
      <family val="2"/>
    </font>
    <font>
      <sz val="12"/>
      <color rgb="FFFF0000"/>
      <name val="Arial Narrow"/>
      <family val="2"/>
    </font>
    <font>
      <sz val="11"/>
      <color indexed="8"/>
      <name val="Arial Narrow"/>
      <family val="2"/>
    </font>
    <font>
      <b/>
      <sz val="10"/>
      <color rgb="FFFF0000"/>
      <name val="Arial"/>
      <family val="2"/>
    </font>
    <font>
      <sz val="9"/>
      <color rgb="FF000000"/>
      <name val="Arial"/>
      <family val="2"/>
    </font>
    <font>
      <sz val="12"/>
      <color rgb="FFFFFFFF"/>
      <name val="Arial Narrow"/>
      <family val="2"/>
    </font>
    <font>
      <sz val="10"/>
      <color rgb="FFFFFFFF"/>
      <name val="Arial"/>
      <family val="2"/>
    </font>
    <font>
      <b/>
      <sz val="15"/>
      <name val="Arial Narrow"/>
      <family val="2"/>
    </font>
    <font>
      <sz val="15"/>
      <name val="Arial"/>
      <family val="2"/>
    </font>
    <font>
      <b/>
      <sz val="20"/>
      <name val="Arial Narrow"/>
      <family val="2"/>
    </font>
    <font>
      <b/>
      <sz val="14"/>
      <color rgb="FF800000"/>
      <name val="Arial"/>
      <family val="2"/>
    </font>
    <font>
      <sz val="10"/>
      <name val="Arial"/>
      <family val="2"/>
    </font>
    <font>
      <sz val="10"/>
      <color rgb="FFFF0000"/>
      <name val="Arial"/>
      <family val="2"/>
    </font>
    <font>
      <b/>
      <sz val="15"/>
      <color rgb="FF0000FF"/>
      <name val="Arial"/>
      <family val="2"/>
    </font>
    <font>
      <b/>
      <sz val="20"/>
      <color rgb="FF0000FF"/>
      <name val="Arial"/>
      <family val="2"/>
    </font>
    <font>
      <sz val="20"/>
      <color theme="1"/>
      <name val="Calibri"/>
      <family val="2"/>
      <scheme val="minor"/>
    </font>
    <font>
      <b/>
      <sz val="18"/>
      <color rgb="FF0000FF"/>
      <name val="Arial"/>
      <family val="2"/>
    </font>
    <font>
      <sz val="18"/>
      <color theme="1"/>
      <name val="Calibri"/>
      <family val="2"/>
      <scheme val="minor"/>
    </font>
    <font>
      <b/>
      <sz val="25"/>
      <color rgb="FFFF0000"/>
      <name val="Arial"/>
      <family val="2"/>
    </font>
    <font>
      <sz val="25"/>
      <color theme="1"/>
      <name val="Calibri"/>
      <family val="2"/>
      <scheme val="minor"/>
    </font>
    <font>
      <b/>
      <sz val="10"/>
      <color rgb="FF0000FF"/>
      <name val="Arial"/>
      <family val="2"/>
    </font>
    <font>
      <b/>
      <sz val="11"/>
      <color rgb="FFFF0000"/>
      <name val="Arial"/>
      <family val="2"/>
    </font>
    <font>
      <b/>
      <sz val="15"/>
      <color rgb="FFFF0000"/>
      <name val="Arial"/>
      <family val="2"/>
    </font>
    <font>
      <b/>
      <sz val="15"/>
      <color rgb="FF008000"/>
      <name val="Arial"/>
      <family val="2"/>
    </font>
    <font>
      <b/>
      <sz val="9"/>
      <color rgb="FF0000FF"/>
      <name val="Arial"/>
      <family val="2"/>
    </font>
    <font>
      <b/>
      <sz val="10"/>
      <name val="Arial"/>
      <family val="2"/>
    </font>
    <font>
      <b/>
      <sz val="14"/>
      <color indexed="8"/>
      <name val="Arial Narrow"/>
      <family val="2"/>
    </font>
    <font>
      <sz val="14"/>
      <name val="Arial"/>
      <family val="2"/>
    </font>
    <font>
      <b/>
      <sz val="14"/>
      <color rgb="FFFF0000"/>
      <name val="Arial"/>
      <family val="2"/>
    </font>
    <font>
      <sz val="12"/>
      <color rgb="FF000000"/>
      <name val="Arial Narrow"/>
      <family val="2"/>
    </font>
    <font>
      <sz val="14"/>
      <color theme="1"/>
      <name val="Calibri"/>
      <family val="2"/>
      <scheme val="minor"/>
    </font>
    <font>
      <b/>
      <sz val="14"/>
      <color theme="0"/>
      <name val="Calibri"/>
      <family val="2"/>
      <scheme val="minor"/>
    </font>
    <font>
      <b/>
      <sz val="10"/>
      <color rgb="FFFFFFFF"/>
      <name val="Arial"/>
      <family val="2"/>
    </font>
    <font>
      <b/>
      <sz val="12"/>
      <name val="Arial"/>
      <family val="2"/>
    </font>
    <font>
      <b/>
      <sz val="14"/>
      <color rgb="FF003300"/>
      <name val="Arial"/>
      <family val="2"/>
    </font>
    <font>
      <sz val="18"/>
      <name val="Arial Narrow"/>
      <family val="2"/>
    </font>
    <font>
      <sz val="18"/>
      <name val="Arial"/>
      <family val="2"/>
    </font>
    <font>
      <b/>
      <sz val="13"/>
      <color indexed="8"/>
      <name val="Arial Narrow"/>
      <family val="2"/>
    </font>
    <font>
      <sz val="13"/>
      <name val="Arial"/>
      <family val="2"/>
    </font>
    <font>
      <b/>
      <sz val="13"/>
      <color rgb="FF000000"/>
      <name val="Arial Narrow"/>
      <family val="2"/>
    </font>
    <font>
      <b/>
      <sz val="13"/>
      <color rgb="FF000000"/>
      <name val="Arial"/>
      <family val="2"/>
    </font>
    <font>
      <b/>
      <sz val="14"/>
      <color indexed="10"/>
      <name val="Arial Narrow"/>
      <family val="2"/>
    </font>
    <font>
      <b/>
      <sz val="12"/>
      <color theme="1" tint="4.9989318521683403E-2"/>
      <name val="Arial"/>
      <family val="2"/>
    </font>
    <font>
      <b/>
      <sz val="9"/>
      <color rgb="FF000000"/>
      <name val="Arial"/>
      <family val="2"/>
    </font>
    <font>
      <b/>
      <sz val="16"/>
      <color theme="1"/>
      <name val="Arial Narrow"/>
      <family val="2"/>
    </font>
    <font>
      <b/>
      <sz val="20"/>
      <color theme="1"/>
      <name val="Arial Narrow"/>
      <family val="2"/>
    </font>
    <font>
      <b/>
      <sz val="13"/>
      <color rgb="FFFF0000"/>
      <name val="Arial"/>
      <family val="2"/>
    </font>
    <font>
      <sz val="13"/>
      <color rgb="FFFF0000"/>
      <name val="Arial"/>
      <family val="2"/>
    </font>
    <font>
      <b/>
      <sz val="10"/>
      <color theme="1" tint="4.9989318521683403E-2"/>
      <name val="Arial"/>
      <family val="2"/>
    </font>
    <font>
      <b/>
      <sz val="13"/>
      <name val="Arial Narrow"/>
      <family val="2"/>
    </font>
    <font>
      <b/>
      <sz val="13"/>
      <name val="Arial"/>
      <family val="2"/>
    </font>
    <font>
      <sz val="12"/>
      <color theme="1"/>
      <name val="Arial Narrow"/>
      <family val="2"/>
    </font>
    <font>
      <b/>
      <sz val="12"/>
      <color theme="1"/>
      <name val="Arial Narrow"/>
      <family val="2"/>
    </font>
    <font>
      <b/>
      <sz val="11"/>
      <color rgb="FFFF0000"/>
      <name val="Calibri"/>
      <family val="2"/>
      <scheme val="minor"/>
    </font>
    <font>
      <sz val="11"/>
      <color rgb="FF212529"/>
      <name val="Arial"/>
      <family val="2"/>
    </font>
    <font>
      <sz val="11"/>
      <color theme="8" tint="-0.249977111117893"/>
      <name val="Arial"/>
      <family val="2"/>
    </font>
    <font>
      <b/>
      <sz val="12"/>
      <color theme="8" tint="-0.249977111117893"/>
      <name val="Arial"/>
      <family val="2"/>
    </font>
    <font>
      <sz val="11"/>
      <color theme="8" tint="-0.249977111117893"/>
      <name val="Calibri"/>
      <family val="2"/>
      <scheme val="minor"/>
    </font>
    <font>
      <sz val="12"/>
      <color theme="8" tint="-0.249977111117893"/>
      <name val="Arial Narrow"/>
      <family val="2"/>
    </font>
    <font>
      <sz val="11"/>
      <color rgb="FF545E6B"/>
      <name val="Fira Sans"/>
      <family val="2"/>
    </font>
    <font>
      <sz val="12"/>
      <color theme="4"/>
      <name val="Arial Narrow"/>
      <family val="2"/>
    </font>
    <font>
      <sz val="11"/>
      <color rgb="FFFF0000"/>
      <name val="Calibri"/>
      <family val="2"/>
      <scheme val="minor"/>
    </font>
    <font>
      <sz val="11"/>
      <color rgb="FFFF0000"/>
      <name val="Arial"/>
      <family val="2"/>
    </font>
  </fonts>
  <fills count="17">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rgb="FFDCDCDC"/>
        <bgColor indexed="64"/>
      </patternFill>
    </fill>
    <fill>
      <patternFill patternType="solid">
        <fgColor theme="6" tint="0.59999389629810485"/>
        <bgColor indexed="64"/>
      </patternFill>
    </fill>
    <fill>
      <patternFill patternType="solid">
        <fgColor rgb="FFFFFF99"/>
        <bgColor indexed="64"/>
      </patternFill>
    </fill>
    <fill>
      <patternFill patternType="solid">
        <fgColor theme="6" tint="0.39997558519241921"/>
        <bgColor indexed="64"/>
      </patternFill>
    </fill>
    <fill>
      <patternFill patternType="solid">
        <fgColor rgb="FFFFFF00"/>
        <bgColor indexed="64"/>
      </patternFill>
    </fill>
    <fill>
      <patternFill patternType="solid">
        <fgColor rgb="FFFFFFFF"/>
        <bgColor indexed="64"/>
      </patternFill>
    </fill>
    <fill>
      <patternFill patternType="solid">
        <fgColor theme="1" tint="0.499984740745262"/>
        <bgColor indexed="64"/>
      </patternFill>
    </fill>
    <fill>
      <patternFill patternType="solid">
        <fgColor rgb="FFDCDCDC"/>
        <bgColor theme="0" tint="-0.14999847407452621"/>
      </patternFill>
    </fill>
    <fill>
      <patternFill patternType="solid">
        <fgColor rgb="FFFF7575"/>
        <bgColor indexed="64"/>
      </patternFill>
    </fill>
    <fill>
      <patternFill patternType="solid">
        <fgColor theme="2" tint="-9.9978637043366805E-2"/>
        <bgColor indexed="64"/>
      </patternFill>
    </fill>
  </fills>
  <borders count="73">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style="thin">
        <color indexed="64"/>
      </top>
      <bottom style="thin">
        <color indexed="55"/>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double">
        <color indexed="9"/>
      </right>
      <top/>
      <bottom/>
      <diagonal/>
    </border>
    <border>
      <left style="thin">
        <color auto="1"/>
      </left>
      <right style="thin">
        <color indexed="55"/>
      </right>
      <top style="thin">
        <color indexed="55"/>
      </top>
      <bottom style="thin">
        <color indexed="55"/>
      </bottom>
      <diagonal/>
    </border>
    <border>
      <left style="thin">
        <color auto="1"/>
      </left>
      <right style="thin">
        <color auto="1"/>
      </right>
      <top/>
      <bottom/>
      <diagonal/>
    </border>
    <border>
      <left/>
      <right/>
      <top style="thin">
        <color indexed="55"/>
      </top>
      <bottom/>
      <diagonal/>
    </border>
    <border>
      <left/>
      <right style="double">
        <color indexed="9"/>
      </right>
      <top style="thin">
        <color indexed="55"/>
      </top>
      <bottom/>
      <diagonal/>
    </border>
    <border>
      <left style="medium">
        <color rgb="FFFFFF99"/>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right style="thin">
        <color indexed="8"/>
      </right>
      <top/>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style="thin">
        <color auto="1"/>
      </left>
      <right/>
      <top/>
      <bottom style="thin">
        <color auto="1"/>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0" fontId="32" fillId="0" borderId="0"/>
    <xf numFmtId="0" fontId="5" fillId="0" borderId="0"/>
    <xf numFmtId="0" fontId="4" fillId="0" borderId="0"/>
    <xf numFmtId="0" fontId="3" fillId="0" borderId="0"/>
    <xf numFmtId="0" fontId="1" fillId="0" borderId="0"/>
    <xf numFmtId="0" fontId="1" fillId="0" borderId="0"/>
    <xf numFmtId="0" fontId="1" fillId="0" borderId="0"/>
  </cellStyleXfs>
  <cellXfs count="373">
    <xf numFmtId="0" fontId="0" fillId="0" borderId="0" xfId="0"/>
    <xf numFmtId="0" fontId="8" fillId="0" borderId="0" xfId="0" applyFont="1"/>
    <xf numFmtId="0" fontId="8" fillId="3" borderId="0" xfId="0" applyFont="1" applyFill="1"/>
    <xf numFmtId="0" fontId="8" fillId="0" borderId="0" xfId="0" applyFont="1" applyAlignment="1">
      <alignment horizontal="center"/>
    </xf>
    <xf numFmtId="0" fontId="10" fillId="0" borderId="8" xfId="0" applyFont="1" applyBorder="1" applyAlignment="1">
      <alignment horizontal="center" vertical="center"/>
    </xf>
    <xf numFmtId="0" fontId="19" fillId="0" borderId="0" xfId="0" applyFont="1" applyAlignment="1">
      <alignment vertical="center"/>
    </xf>
    <xf numFmtId="0" fontId="21" fillId="0" borderId="0" xfId="0" applyFont="1"/>
    <xf numFmtId="0" fontId="26" fillId="0" borderId="0" xfId="0" applyFont="1"/>
    <xf numFmtId="0" fontId="26" fillId="3" borderId="0" xfId="0" applyFont="1" applyFill="1"/>
    <xf numFmtId="0" fontId="27" fillId="0" borderId="0" xfId="0" applyFont="1"/>
    <xf numFmtId="1" fontId="26" fillId="0" borderId="0" xfId="0" applyNumberFormat="1" applyFont="1"/>
    <xf numFmtId="1" fontId="13" fillId="0" borderId="7" xfId="0" applyNumberFormat="1" applyFont="1" applyBorder="1" applyAlignment="1">
      <alignment horizontal="center" vertical="center"/>
    </xf>
    <xf numFmtId="0" fontId="16" fillId="5" borderId="19" xfId="0" applyFont="1" applyFill="1" applyBorder="1" applyAlignment="1">
      <alignment horizontal="left"/>
    </xf>
    <xf numFmtId="0" fontId="16" fillId="5" borderId="19" xfId="0" applyFont="1" applyFill="1" applyBorder="1" applyAlignment="1">
      <alignment horizontal="center"/>
    </xf>
    <xf numFmtId="0" fontId="26" fillId="0" borderId="0" xfId="0" applyFont="1" applyProtection="1">
      <protection locked="0"/>
    </xf>
    <xf numFmtId="0" fontId="32" fillId="8" borderId="0" xfId="1" applyFill="1" applyProtection="1">
      <protection locked="0"/>
    </xf>
    <xf numFmtId="0" fontId="32" fillId="8" borderId="0" xfId="1" applyFill="1"/>
    <xf numFmtId="0" fontId="5" fillId="0" borderId="0" xfId="2"/>
    <xf numFmtId="0" fontId="34" fillId="9" borderId="9" xfId="1" applyFont="1" applyFill="1" applyBorder="1"/>
    <xf numFmtId="0" fontId="34" fillId="9" borderId="12" xfId="1" applyFont="1" applyFill="1" applyBorder="1"/>
    <xf numFmtId="0" fontId="34" fillId="9" borderId="14" xfId="1" applyFont="1" applyFill="1" applyBorder="1"/>
    <xf numFmtId="0" fontId="32" fillId="10" borderId="9" xfId="1" applyFill="1" applyBorder="1"/>
    <xf numFmtId="0" fontId="32" fillId="10" borderId="10" xfId="1" applyFill="1" applyBorder="1"/>
    <xf numFmtId="0" fontId="32" fillId="10" borderId="11" xfId="1" applyFill="1" applyBorder="1"/>
    <xf numFmtId="0" fontId="32" fillId="8" borderId="13" xfId="1" applyFill="1" applyBorder="1"/>
    <xf numFmtId="0" fontId="32" fillId="8" borderId="12" xfId="1" applyFill="1" applyBorder="1"/>
    <xf numFmtId="0" fontId="32" fillId="10" borderId="12" xfId="1" applyFill="1" applyBorder="1"/>
    <xf numFmtId="0" fontId="32" fillId="10" borderId="0" xfId="1" applyFill="1"/>
    <xf numFmtId="0" fontId="32" fillId="10" borderId="13" xfId="1" applyFill="1" applyBorder="1"/>
    <xf numFmtId="0" fontId="32" fillId="8" borderId="26" xfId="1" applyFill="1" applyBorder="1"/>
    <xf numFmtId="0" fontId="32" fillId="8" borderId="27" xfId="1" applyFill="1" applyBorder="1"/>
    <xf numFmtId="0" fontId="32" fillId="8" borderId="28" xfId="1" applyFill="1" applyBorder="1"/>
    <xf numFmtId="0" fontId="32" fillId="8" borderId="29" xfId="1" applyFill="1" applyBorder="1"/>
    <xf numFmtId="0" fontId="32" fillId="8" borderId="30" xfId="1" applyFill="1" applyBorder="1"/>
    <xf numFmtId="0" fontId="24" fillId="9" borderId="29" xfId="1" applyFont="1" applyFill="1" applyBorder="1" applyAlignment="1">
      <alignment horizontal="right"/>
    </xf>
    <xf numFmtId="14" fontId="41" fillId="9" borderId="0" xfId="1" applyNumberFormat="1" applyFont="1" applyFill="1" applyAlignment="1">
      <alignment horizontal="center"/>
    </xf>
    <xf numFmtId="0" fontId="24" fillId="9" borderId="0" xfId="1" applyFont="1" applyFill="1" applyAlignment="1">
      <alignment horizontal="right"/>
    </xf>
    <xf numFmtId="19" fontId="41" fillId="9" borderId="30" xfId="1" applyNumberFormat="1" applyFont="1" applyFill="1" applyBorder="1" applyAlignment="1">
      <alignment horizontal="center"/>
    </xf>
    <xf numFmtId="0" fontId="32" fillId="8" borderId="31" xfId="1" applyFill="1" applyBorder="1"/>
    <xf numFmtId="0" fontId="32" fillId="8" borderId="32" xfId="1" applyFill="1" applyBorder="1"/>
    <xf numFmtId="0" fontId="32" fillId="8" borderId="33" xfId="1" applyFill="1" applyBorder="1"/>
    <xf numFmtId="0" fontId="22" fillId="0" borderId="0" xfId="0" applyFont="1"/>
    <xf numFmtId="14" fontId="0" fillId="0" borderId="0" xfId="0" applyNumberFormat="1"/>
    <xf numFmtId="19" fontId="0" fillId="0" borderId="0" xfId="0" applyNumberFormat="1"/>
    <xf numFmtId="0" fontId="24" fillId="11" borderId="0" xfId="0" applyFont="1" applyFill="1" applyAlignment="1">
      <alignment horizontal="right"/>
    </xf>
    <xf numFmtId="0" fontId="24" fillId="11" borderId="0" xfId="0" applyFont="1" applyFill="1" applyAlignment="1">
      <alignment horizontal="left"/>
    </xf>
    <xf numFmtId="14" fontId="24" fillId="11" borderId="0" xfId="0" applyNumberFormat="1" applyFont="1" applyFill="1" applyAlignment="1">
      <alignment horizontal="left"/>
    </xf>
    <xf numFmtId="0" fontId="0" fillId="0" borderId="0" xfId="0" applyAlignment="1">
      <alignment vertical="center"/>
    </xf>
    <xf numFmtId="1" fontId="22" fillId="4" borderId="18" xfId="0" applyNumberFormat="1" applyFont="1" applyFill="1" applyBorder="1" applyAlignment="1">
      <alignment horizontal="center" vertical="center"/>
    </xf>
    <xf numFmtId="165" fontId="22" fillId="4" borderId="18" xfId="0" applyNumberFormat="1" applyFont="1" applyFill="1" applyBorder="1" applyAlignment="1">
      <alignment horizontal="center" vertical="center"/>
    </xf>
    <xf numFmtId="0" fontId="4" fillId="0" borderId="0" xfId="3"/>
    <xf numFmtId="0" fontId="4" fillId="0" borderId="0" xfId="3" applyAlignment="1">
      <alignment horizontal="center"/>
    </xf>
    <xf numFmtId="0" fontId="38" fillId="0" borderId="0" xfId="3" applyFont="1"/>
    <xf numFmtId="0" fontId="51" fillId="0" borderId="0" xfId="3" applyFont="1"/>
    <xf numFmtId="0" fontId="4" fillId="0" borderId="2" xfId="3" applyBorder="1" applyAlignment="1">
      <alignment horizontal="center"/>
    </xf>
    <xf numFmtId="0" fontId="4" fillId="0" borderId="5" xfId="3" applyBorder="1" applyAlignment="1">
      <alignment horizontal="center"/>
    </xf>
    <xf numFmtId="0" fontId="4" fillId="0" borderId="42" xfId="3" applyBorder="1" applyAlignment="1">
      <alignment horizontal="center"/>
    </xf>
    <xf numFmtId="0" fontId="4" fillId="0" borderId="1" xfId="3" applyBorder="1"/>
    <xf numFmtId="0" fontId="4" fillId="0" borderId="17" xfId="3" applyBorder="1" applyAlignment="1">
      <alignment horizontal="center"/>
    </xf>
    <xf numFmtId="0" fontId="4" fillId="0" borderId="22" xfId="3" applyBorder="1" applyAlignment="1">
      <alignment horizontal="center"/>
    </xf>
    <xf numFmtId="0" fontId="4" fillId="0" borderId="19" xfId="3" applyBorder="1" applyAlignment="1">
      <alignment horizontal="center"/>
    </xf>
    <xf numFmtId="0" fontId="9" fillId="0" borderId="2" xfId="3" applyFont="1" applyBorder="1" applyAlignment="1">
      <alignment horizontal="left" vertical="center"/>
    </xf>
    <xf numFmtId="0" fontId="9" fillId="0" borderId="0" xfId="3" applyFont="1" applyAlignment="1">
      <alignment vertical="center" wrapText="1"/>
    </xf>
    <xf numFmtId="0" fontId="52" fillId="13" borderId="18" xfId="3" applyFont="1" applyFill="1" applyBorder="1" applyAlignment="1">
      <alignment horizontal="center"/>
    </xf>
    <xf numFmtId="0" fontId="52" fillId="13" borderId="3" xfId="3" applyFont="1" applyFill="1" applyBorder="1" applyAlignment="1">
      <alignment horizontal="center"/>
    </xf>
    <xf numFmtId="0" fontId="4" fillId="0" borderId="6" xfId="3" applyBorder="1"/>
    <xf numFmtId="0" fontId="9" fillId="0" borderId="1" xfId="3" applyFont="1" applyBorder="1" applyAlignment="1">
      <alignment vertical="center"/>
    </xf>
    <xf numFmtId="0" fontId="9" fillId="0" borderId="2" xfId="3" applyFont="1" applyBorder="1" applyAlignment="1">
      <alignment vertical="center"/>
    </xf>
    <xf numFmtId="0" fontId="9" fillId="0" borderId="0" xfId="3" applyFont="1" applyAlignment="1">
      <alignment vertical="center"/>
    </xf>
    <xf numFmtId="0" fontId="9" fillId="0" borderId="5" xfId="3" applyFont="1" applyBorder="1" applyAlignment="1">
      <alignment vertical="center"/>
    </xf>
    <xf numFmtId="0" fontId="9" fillId="0" borderId="6" xfId="3" applyFont="1" applyBorder="1" applyAlignment="1">
      <alignment vertical="center"/>
    </xf>
    <xf numFmtId="0" fontId="9" fillId="0" borderId="42" xfId="3" applyFont="1" applyBorder="1" applyAlignment="1">
      <alignment vertical="center"/>
    </xf>
    <xf numFmtId="0" fontId="9" fillId="0" borderId="2" xfId="3" applyFont="1" applyBorder="1" applyAlignment="1">
      <alignment vertical="center" wrapText="1"/>
    </xf>
    <xf numFmtId="0" fontId="9" fillId="0" borderId="5" xfId="3" applyFont="1" applyBorder="1" applyAlignment="1">
      <alignment vertical="center" wrapText="1"/>
    </xf>
    <xf numFmtId="0" fontId="9" fillId="0" borderId="42" xfId="3" applyFont="1" applyBorder="1" applyAlignment="1">
      <alignment vertical="center" wrapText="1"/>
    </xf>
    <xf numFmtId="0" fontId="58" fillId="0" borderId="34" xfId="0" applyFont="1" applyBorder="1" applyAlignment="1">
      <alignment horizontal="right"/>
    </xf>
    <xf numFmtId="166" fontId="54" fillId="0" borderId="37" xfId="0" applyNumberFormat="1" applyFont="1" applyBorder="1" applyAlignment="1">
      <alignment horizontal="center" vertical="center"/>
    </xf>
    <xf numFmtId="164" fontId="58" fillId="0" borderId="36" xfId="0" applyNumberFormat="1" applyFont="1" applyBorder="1" applyAlignment="1">
      <alignment horizontal="right"/>
    </xf>
    <xf numFmtId="0" fontId="15" fillId="6" borderId="48" xfId="0" applyFont="1" applyFill="1" applyBorder="1" applyAlignment="1">
      <alignment horizontal="center" vertical="center" wrapText="1"/>
    </xf>
    <xf numFmtId="0" fontId="27" fillId="0" borderId="5" xfId="1" applyFont="1" applyBorder="1"/>
    <xf numFmtId="1" fontId="13" fillId="0" borderId="50" xfId="1" applyNumberFormat="1" applyFont="1" applyBorder="1" applyAlignment="1" applyProtection="1">
      <alignment horizontal="center" vertical="center"/>
      <protection locked="0"/>
    </xf>
    <xf numFmtId="0" fontId="27" fillId="0" borderId="0" xfId="1" applyFont="1"/>
    <xf numFmtId="165" fontId="14" fillId="4" borderId="50" xfId="1" applyNumberFormat="1" applyFont="1" applyFill="1" applyBorder="1" applyAlignment="1">
      <alignment horizontal="center" vertical="center"/>
    </xf>
    <xf numFmtId="0" fontId="26" fillId="0" borderId="0" xfId="4" applyFont="1" applyAlignment="1">
      <alignment horizontal="left" vertical="center" wrapText="1"/>
    </xf>
    <xf numFmtId="1" fontId="50" fillId="12" borderId="50" xfId="0" applyNumberFormat="1" applyFont="1" applyFill="1" applyBorder="1" applyAlignment="1" applyProtection="1">
      <alignment horizontal="center" vertical="center"/>
      <protection locked="0"/>
    </xf>
    <xf numFmtId="0" fontId="0" fillId="0" borderId="50" xfId="0" applyBorder="1" applyAlignment="1">
      <alignment horizontal="center" vertical="center"/>
    </xf>
    <xf numFmtId="0" fontId="0" fillId="0" borderId="50" xfId="0" applyBorder="1" applyAlignment="1">
      <alignment horizontal="center" vertical="center" wrapText="1"/>
    </xf>
    <xf numFmtId="0" fontId="21" fillId="0" borderId="50" xfId="0" applyFont="1" applyBorder="1" applyAlignment="1">
      <alignment horizontal="left" vertical="center"/>
    </xf>
    <xf numFmtId="0" fontId="25" fillId="7" borderId="51" xfId="0" applyFont="1" applyFill="1" applyBorder="1"/>
    <xf numFmtId="0" fontId="24" fillId="7" borderId="52" xfId="0" applyFont="1" applyFill="1" applyBorder="1" applyAlignment="1">
      <alignment horizontal="center"/>
    </xf>
    <xf numFmtId="0" fontId="25" fillId="7" borderId="53" xfId="0" applyFont="1" applyFill="1" applyBorder="1"/>
    <xf numFmtId="0" fontId="24" fillId="7" borderId="54" xfId="0" applyFont="1" applyFill="1" applyBorder="1" applyAlignment="1">
      <alignment horizontal="center"/>
    </xf>
    <xf numFmtId="0" fontId="64" fillId="14" borderId="55" xfId="0" applyFont="1" applyFill="1" applyBorder="1"/>
    <xf numFmtId="0" fontId="24" fillId="7" borderId="56" xfId="0" applyFont="1" applyFill="1" applyBorder="1" applyAlignment="1">
      <alignment horizontal="center"/>
    </xf>
    <xf numFmtId="0" fontId="53" fillId="0" borderId="0" xfId="0" applyFont="1" applyAlignment="1">
      <alignment horizontal="center"/>
    </xf>
    <xf numFmtId="0" fontId="53" fillId="0" borderId="0" xfId="0" applyFont="1"/>
    <xf numFmtId="0" fontId="65" fillId="15" borderId="50" xfId="0" applyFont="1" applyFill="1" applyBorder="1" applyAlignment="1">
      <alignment horizontal="right" vertical="center"/>
    </xf>
    <xf numFmtId="165" fontId="66" fillId="15" borderId="50" xfId="0" applyNumberFormat="1" applyFont="1" applyFill="1" applyBorder="1" applyAlignment="1">
      <alignment horizontal="center" vertical="center"/>
    </xf>
    <xf numFmtId="0" fontId="13" fillId="0" borderId="0" xfId="0" applyFont="1" applyAlignment="1">
      <alignment horizontal="left" vertical="top"/>
    </xf>
    <xf numFmtId="0" fontId="0" fillId="0" borderId="0" xfId="0" applyAlignment="1">
      <alignment horizontal="left" vertical="top"/>
    </xf>
    <xf numFmtId="0" fontId="4" fillId="16" borderId="19" xfId="3" applyFill="1" applyBorder="1" applyAlignment="1">
      <alignment horizontal="center"/>
    </xf>
    <xf numFmtId="0" fontId="4" fillId="0" borderId="47" xfId="3" applyBorder="1" applyAlignment="1">
      <alignment horizontal="center"/>
    </xf>
    <xf numFmtId="0" fontId="4" fillId="0" borderId="59" xfId="3" applyBorder="1" applyAlignment="1">
      <alignment horizontal="center"/>
    </xf>
    <xf numFmtId="0" fontId="2" fillId="0" borderId="68" xfId="3" applyFont="1" applyBorder="1"/>
    <xf numFmtId="0" fontId="2" fillId="0" borderId="69" xfId="3" applyFont="1" applyBorder="1"/>
    <xf numFmtId="0" fontId="2" fillId="0" borderId="70" xfId="3" applyFont="1" applyBorder="1"/>
    <xf numFmtId="0" fontId="2" fillId="0" borderId="58" xfId="3" applyFont="1" applyBorder="1"/>
    <xf numFmtId="0" fontId="2" fillId="0" borderId="59" xfId="3" applyFont="1" applyBorder="1"/>
    <xf numFmtId="0" fontId="72" fillId="0" borderId="4" xfId="3" applyFont="1" applyBorder="1" applyAlignment="1">
      <alignment horizontal="left" vertical="center" wrapText="1"/>
    </xf>
    <xf numFmtId="0" fontId="72" fillId="0" borderId="0" xfId="3" applyFont="1" applyAlignment="1">
      <alignment horizontal="left" vertical="center" wrapText="1"/>
    </xf>
    <xf numFmtId="0" fontId="72" fillId="0" borderId="5" xfId="3" applyFont="1" applyBorder="1" applyAlignment="1">
      <alignment horizontal="left" vertical="center" wrapText="1"/>
    </xf>
    <xf numFmtId="0" fontId="2" fillId="0" borderId="0" xfId="3" applyFont="1"/>
    <xf numFmtId="0" fontId="73" fillId="0" borderId="40" xfId="3" applyFont="1" applyBorder="1" applyAlignment="1">
      <alignment horizontal="left" vertical="center" wrapText="1"/>
    </xf>
    <xf numFmtId="0" fontId="73" fillId="0" borderId="1" xfId="3" applyFont="1" applyBorder="1" applyAlignment="1">
      <alignment horizontal="left" vertical="center" wrapText="1"/>
    </xf>
    <xf numFmtId="0" fontId="73" fillId="0" borderId="2" xfId="3" applyFont="1" applyBorder="1" applyAlignment="1">
      <alignment horizontal="left" vertical="center" wrapText="1"/>
    </xf>
    <xf numFmtId="0" fontId="74" fillId="0" borderId="0" xfId="3" applyFont="1"/>
    <xf numFmtId="0" fontId="75" fillId="0" borderId="0" xfId="0" applyFont="1"/>
    <xf numFmtId="0" fontId="78" fillId="0" borderId="1" xfId="3" applyFont="1" applyBorder="1"/>
    <xf numFmtId="0" fontId="78" fillId="0" borderId="0" xfId="3" applyFont="1"/>
    <xf numFmtId="0" fontId="78" fillId="0" borderId="6" xfId="3" applyFont="1" applyBorder="1"/>
    <xf numFmtId="0" fontId="9" fillId="0" borderId="58" xfId="3" applyFont="1" applyBorder="1" applyAlignment="1">
      <alignment vertical="center"/>
    </xf>
    <xf numFmtId="0" fontId="4" fillId="0" borderId="70" xfId="3" applyBorder="1" applyAlignment="1">
      <alignment horizontal="center"/>
    </xf>
    <xf numFmtId="0" fontId="3" fillId="0" borderId="5" xfId="3" applyFont="1" applyBorder="1" applyAlignment="1">
      <alignment horizontal="center" wrapText="1"/>
    </xf>
    <xf numFmtId="0" fontId="76" fillId="0" borderId="57" xfId="0" applyFont="1" applyBorder="1" applyAlignment="1">
      <alignment wrapText="1"/>
    </xf>
    <xf numFmtId="0" fontId="76" fillId="0" borderId="58" xfId="0" applyFont="1" applyBorder="1" applyAlignment="1">
      <alignment wrapText="1"/>
    </xf>
    <xf numFmtId="0" fontId="76" fillId="0" borderId="59" xfId="0" applyFont="1" applyBorder="1" applyAlignment="1">
      <alignment wrapText="1"/>
    </xf>
    <xf numFmtId="0" fontId="76" fillId="0" borderId="63" xfId="0" applyFont="1" applyBorder="1" applyAlignment="1">
      <alignment wrapText="1"/>
    </xf>
    <xf numFmtId="0" fontId="4" fillId="0" borderId="67" xfId="3" applyBorder="1" applyAlignment="1">
      <alignment horizontal="center"/>
    </xf>
    <xf numFmtId="0" fontId="78" fillId="0" borderId="57" xfId="3" applyFont="1" applyBorder="1"/>
    <xf numFmtId="0" fontId="80" fillId="0" borderId="0" xfId="0" applyFont="1"/>
    <xf numFmtId="0" fontId="82" fillId="0" borderId="0" xfId="3" applyFont="1"/>
    <xf numFmtId="0" fontId="83" fillId="0" borderId="0" xfId="0" applyFont="1"/>
    <xf numFmtId="0" fontId="22" fillId="0" borderId="63" xfId="3" applyFont="1" applyBorder="1" applyAlignment="1">
      <alignment horizontal="left" vertical="center" wrapText="1"/>
    </xf>
    <xf numFmtId="0" fontId="4" fillId="0" borderId="58" xfId="3" applyBorder="1"/>
    <xf numFmtId="0" fontId="4" fillId="0" borderId="59" xfId="3" applyBorder="1"/>
    <xf numFmtId="0" fontId="82" fillId="0" borderId="41" xfId="3" applyFont="1" applyBorder="1"/>
    <xf numFmtId="0" fontId="73" fillId="0" borderId="68" xfId="3" applyFont="1" applyBorder="1" applyAlignment="1">
      <alignment horizontal="left" vertical="center" wrapText="1"/>
    </xf>
    <xf numFmtId="0" fontId="73" fillId="0" borderId="69" xfId="3" applyFont="1" applyBorder="1" applyAlignment="1">
      <alignment horizontal="left" vertical="center" wrapText="1"/>
    </xf>
    <xf numFmtId="0" fontId="73" fillId="0" borderId="70" xfId="3" applyFont="1" applyBorder="1" applyAlignment="1">
      <alignment horizontal="left" vertical="center" wrapText="1"/>
    </xf>
    <xf numFmtId="0" fontId="4" fillId="0" borderId="63" xfId="3" applyBorder="1"/>
    <xf numFmtId="0" fontId="4" fillId="0" borderId="5" xfId="3" applyBorder="1"/>
    <xf numFmtId="0" fontId="9" fillId="0" borderId="70" xfId="3" applyFont="1" applyBorder="1" applyAlignment="1">
      <alignment vertical="center" wrapText="1"/>
    </xf>
    <xf numFmtId="0" fontId="4" fillId="0" borderId="72" xfId="3" applyBorder="1" applyAlignment="1">
      <alignment horizontal="center"/>
    </xf>
    <xf numFmtId="0" fontId="9" fillId="0" borderId="59" xfId="3" applyFont="1" applyBorder="1" applyAlignment="1">
      <alignment vertical="center" wrapText="1"/>
    </xf>
    <xf numFmtId="0" fontId="42" fillId="9" borderId="29" xfId="1" applyFont="1" applyFill="1" applyBorder="1" applyAlignment="1">
      <alignment horizontal="center"/>
    </xf>
    <xf numFmtId="0" fontId="33" fillId="0" borderId="0" xfId="0" applyFont="1"/>
    <xf numFmtId="0" fontId="33" fillId="0" borderId="30" xfId="0" applyFont="1" applyBorder="1"/>
    <xf numFmtId="0" fontId="39" fillId="10" borderId="0" xfId="1" applyFont="1" applyFill="1" applyAlignment="1">
      <alignment horizontal="center"/>
    </xf>
    <xf numFmtId="0" fontId="40" fillId="0" borderId="0" xfId="2" applyFont="1"/>
    <xf numFmtId="0" fontId="37" fillId="9" borderId="25" xfId="1" applyFont="1" applyFill="1" applyBorder="1" applyAlignment="1">
      <alignment horizontal="center"/>
    </xf>
    <xf numFmtId="0" fontId="38" fillId="0" borderId="0" xfId="2" applyFont="1" applyAlignment="1">
      <alignment horizontal="center"/>
    </xf>
    <xf numFmtId="0" fontId="0" fillId="0" borderId="13" xfId="0" applyBorder="1"/>
    <xf numFmtId="0" fontId="34" fillId="9" borderId="15" xfId="1" applyFont="1" applyFill="1" applyBorder="1" applyAlignment="1">
      <alignment horizontal="center"/>
    </xf>
    <xf numFmtId="0" fontId="34" fillId="0" borderId="15" xfId="0" applyFont="1" applyBorder="1" applyAlignment="1">
      <alignment horizontal="center"/>
    </xf>
    <xf numFmtId="0" fontId="29" fillId="0" borderId="16" xfId="0" applyFont="1" applyBorder="1"/>
    <xf numFmtId="0" fontId="35" fillId="9" borderId="10" xfId="1" applyFont="1" applyFill="1" applyBorder="1" applyAlignment="1">
      <alignment horizontal="center"/>
    </xf>
    <xf numFmtId="0" fontId="36" fillId="0" borderId="10" xfId="2" applyFont="1" applyBorder="1"/>
    <xf numFmtId="0" fontId="0" fillId="0" borderId="11" xfId="0" applyBorder="1"/>
    <xf numFmtId="0" fontId="0" fillId="0" borderId="0" xfId="0" applyAlignment="1">
      <alignment horizontal="center" vertical="center"/>
    </xf>
    <xf numFmtId="0" fontId="70" fillId="0" borderId="57" xfId="0" applyFont="1" applyBorder="1" applyAlignment="1">
      <alignment horizontal="center" wrapText="1"/>
    </xf>
    <xf numFmtId="0" fontId="71" fillId="0" borderId="58" xfId="0" applyFont="1" applyBorder="1" applyAlignment="1">
      <alignment horizontal="center" wrapText="1"/>
    </xf>
    <xf numFmtId="0" fontId="71" fillId="0" borderId="59" xfId="0" applyFont="1" applyBorder="1" applyAlignment="1">
      <alignment horizontal="center" wrapText="1"/>
    </xf>
    <xf numFmtId="0" fontId="0" fillId="0" borderId="41" xfId="0" applyBorder="1"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8" fillId="0" borderId="0" xfId="0" applyFont="1" applyAlignment="1">
      <alignment wrapText="1"/>
    </xf>
    <xf numFmtId="0" fontId="0" fillId="0" borderId="0" xfId="0" applyAlignment="1">
      <alignment wrapText="1"/>
    </xf>
    <xf numFmtId="0" fontId="0" fillId="0" borderId="49" xfId="0" applyBorder="1" applyAlignment="1">
      <alignment horizontal="left" wrapText="1"/>
    </xf>
    <xf numFmtId="0" fontId="0" fillId="0" borderId="46" xfId="0" applyBorder="1" applyAlignment="1">
      <alignment wrapText="1"/>
    </xf>
    <xf numFmtId="0" fontId="0" fillId="0" borderId="47" xfId="0" applyBorder="1" applyAlignment="1">
      <alignment wrapText="1"/>
    </xf>
    <xf numFmtId="0" fontId="0" fillId="0" borderId="49" xfId="0" applyBorder="1" applyAlignment="1">
      <alignment horizontal="center"/>
    </xf>
    <xf numFmtId="0" fontId="0" fillId="0" borderId="46" xfId="0" applyBorder="1"/>
    <xf numFmtId="0" fontId="0" fillId="0" borderId="47" xfId="0" applyBorder="1"/>
    <xf numFmtId="0" fontId="9" fillId="0" borderId="49" xfId="0" applyFont="1" applyBorder="1" applyAlignment="1">
      <alignment horizontal="center"/>
    </xf>
    <xf numFmtId="0" fontId="0" fillId="0" borderId="47" xfId="0" applyBorder="1" applyAlignment="1">
      <alignment horizontal="center"/>
    </xf>
    <xf numFmtId="0" fontId="70" fillId="0" borderId="4" xfId="0" applyFont="1" applyBorder="1" applyAlignment="1">
      <alignment horizontal="center" wrapText="1"/>
    </xf>
    <xf numFmtId="0" fontId="71" fillId="0" borderId="0" xfId="0" applyFont="1"/>
    <xf numFmtId="0" fontId="71" fillId="0" borderId="5" xfId="0" applyFont="1" applyBorder="1"/>
    <xf numFmtId="0" fontId="71" fillId="0" borderId="0" xfId="0" applyFont="1" applyAlignment="1">
      <alignment horizontal="center" wrapText="1"/>
    </xf>
    <xf numFmtId="0" fontId="71" fillId="0" borderId="5" xfId="0" applyFont="1" applyBorder="1" applyAlignment="1">
      <alignment horizontal="center" wrapText="1"/>
    </xf>
    <xf numFmtId="0" fontId="13" fillId="0" borderId="50" xfId="0" applyFont="1" applyBorder="1" applyAlignment="1" applyProtection="1">
      <alignment horizontal="left" vertical="top"/>
      <protection locked="0"/>
    </xf>
    <xf numFmtId="0" fontId="0" fillId="0" borderId="50" xfId="0" applyBorder="1" applyAlignment="1" applyProtection="1">
      <alignment horizontal="left" vertical="top"/>
      <protection locked="0"/>
    </xf>
    <xf numFmtId="0" fontId="67" fillId="4" borderId="43" xfId="0" applyFont="1" applyFill="1" applyBorder="1" applyAlignment="1">
      <alignment horizontal="center" vertical="center" wrapText="1"/>
    </xf>
    <xf numFmtId="0" fontId="68" fillId="4" borderId="44" xfId="0" applyFont="1" applyFill="1" applyBorder="1" applyAlignment="1">
      <alignment horizontal="center" vertical="center" wrapText="1"/>
    </xf>
    <xf numFmtId="0" fontId="69" fillId="0" borderId="44" xfId="0" applyFont="1" applyBorder="1" applyAlignment="1">
      <alignment horizontal="left" wrapText="1"/>
    </xf>
    <xf numFmtId="0" fontId="0" fillId="0" borderId="44" xfId="0" applyBorder="1" applyAlignment="1">
      <alignment horizontal="left" wrapText="1"/>
    </xf>
    <xf numFmtId="0" fontId="0" fillId="0" borderId="45" xfId="0" applyBorder="1" applyAlignment="1">
      <alignment horizontal="left" wrapText="1"/>
    </xf>
    <xf numFmtId="0" fontId="8" fillId="0" borderId="50" xfId="0" applyFont="1" applyBorder="1" applyAlignment="1">
      <alignment wrapText="1"/>
    </xf>
    <xf numFmtId="0" fontId="0" fillId="0" borderId="50" xfId="0" applyBorder="1" applyAlignment="1">
      <alignment wrapText="1"/>
    </xf>
    <xf numFmtId="0" fontId="12" fillId="0" borderId="50" xfId="0" applyFont="1" applyBorder="1" applyAlignment="1">
      <alignment horizontal="left" vertical="center" wrapText="1"/>
    </xf>
    <xf numFmtId="0" fontId="46" fillId="0" borderId="50" xfId="0" applyFont="1" applyBorder="1" applyAlignment="1">
      <alignment horizontal="left" vertical="center" wrapText="1"/>
    </xf>
    <xf numFmtId="0" fontId="23" fillId="0" borderId="50" xfId="0" applyFont="1" applyBorder="1" applyAlignment="1" applyProtection="1">
      <alignment horizontal="left" vertical="top"/>
      <protection locked="0"/>
    </xf>
    <xf numFmtId="0" fontId="18" fillId="0" borderId="50" xfId="0" applyFont="1" applyBorder="1" applyAlignment="1" applyProtection="1">
      <alignment horizontal="left" vertical="top"/>
      <protection locked="0"/>
    </xf>
    <xf numFmtId="0" fontId="62" fillId="2" borderId="43" xfId="0" applyFont="1" applyFill="1" applyBorder="1" applyAlignment="1">
      <alignment horizontal="center" wrapText="1"/>
    </xf>
    <xf numFmtId="0" fontId="48" fillId="0" borderId="44" xfId="0" applyFont="1" applyBorder="1" applyAlignment="1">
      <alignment horizontal="center" wrapText="1"/>
    </xf>
    <xf numFmtId="0" fontId="48" fillId="0" borderId="45" xfId="0" applyFont="1" applyBorder="1" applyAlignment="1">
      <alignment horizontal="center" wrapText="1"/>
    </xf>
    <xf numFmtId="0" fontId="28" fillId="0" borderId="50" xfId="0" applyFont="1" applyBorder="1" applyAlignment="1">
      <alignment horizontal="center" vertical="center" wrapText="1"/>
    </xf>
    <xf numFmtId="0" fontId="29" fillId="0" borderId="50" xfId="0" applyFont="1" applyBorder="1" applyAlignment="1">
      <alignment horizontal="center" vertical="center" wrapText="1"/>
    </xf>
    <xf numFmtId="0" fontId="8" fillId="0" borderId="6" xfId="0" applyFont="1" applyBorder="1" applyAlignment="1">
      <alignment wrapText="1"/>
    </xf>
    <xf numFmtId="0" fontId="0" fillId="0" borderId="6" xfId="0" applyBorder="1" applyAlignment="1">
      <alignment wrapText="1"/>
    </xf>
    <xf numFmtId="0" fontId="12" fillId="2" borderId="50" xfId="0" applyFont="1" applyFill="1" applyBorder="1" applyAlignment="1">
      <alignment horizontal="center" vertical="center"/>
    </xf>
    <xf numFmtId="0" fontId="0" fillId="0" borderId="50" xfId="0" applyBorder="1" applyAlignment="1">
      <alignment horizontal="center" vertical="center"/>
    </xf>
    <xf numFmtId="0" fontId="8" fillId="0" borderId="4" xfId="0" applyFont="1" applyBorder="1"/>
    <xf numFmtId="0" fontId="0" fillId="0" borderId="0" xfId="0"/>
    <xf numFmtId="0" fontId="8" fillId="0" borderId="5" xfId="0" applyFont="1" applyBorder="1"/>
    <xf numFmtId="0" fontId="0" fillId="0" borderId="5" xfId="0" applyBorder="1"/>
    <xf numFmtId="0" fontId="62" fillId="2" borderId="50" xfId="0" applyFont="1" applyFill="1" applyBorder="1" applyAlignment="1">
      <alignment horizontal="center" wrapText="1"/>
    </xf>
    <xf numFmtId="0" fontId="48" fillId="0" borderId="50" xfId="0" applyFont="1" applyBorder="1" applyAlignment="1">
      <alignment horizontal="center" wrapText="1"/>
    </xf>
    <xf numFmtId="0" fontId="63" fillId="0" borderId="50" xfId="0" applyFont="1" applyBorder="1" applyAlignment="1">
      <alignment horizontal="left" vertical="center" wrapText="1"/>
    </xf>
    <xf numFmtId="0" fontId="13" fillId="0" borderId="50" xfId="0" applyFont="1" applyBorder="1" applyAlignment="1">
      <alignment horizontal="right" vertical="center" wrapText="1"/>
    </xf>
    <xf numFmtId="0" fontId="0" fillId="0" borderId="50" xfId="0" applyBorder="1" applyAlignment="1">
      <alignment horizontal="right" vertical="center" wrapText="1"/>
    </xf>
    <xf numFmtId="0" fontId="12" fillId="0" borderId="50" xfId="0" applyFont="1" applyBorder="1" applyAlignment="1">
      <alignment horizontal="center" vertical="center" wrapText="1"/>
    </xf>
    <xf numFmtId="0" fontId="46" fillId="0" borderId="50" xfId="0" applyFont="1" applyBorder="1" applyAlignment="1">
      <alignment horizontal="center" vertical="center" wrapText="1"/>
    </xf>
    <xf numFmtId="0" fontId="62" fillId="0" borderId="50" xfId="0" applyFont="1" applyBorder="1" applyAlignment="1">
      <alignment horizontal="left" vertical="center" wrapText="1"/>
    </xf>
    <xf numFmtId="0" fontId="54" fillId="0" borderId="50" xfId="0" applyFont="1" applyBorder="1" applyAlignment="1">
      <alignment horizontal="left" vertical="center" wrapText="1"/>
    </xf>
    <xf numFmtId="0" fontId="13" fillId="0" borderId="50" xfId="0" applyFont="1" applyBorder="1" applyAlignment="1">
      <alignment horizontal="left" vertical="center" wrapText="1"/>
    </xf>
    <xf numFmtId="0" fontId="9" fillId="0" borderId="50" xfId="0" applyFont="1" applyBorder="1" applyAlignment="1">
      <alignment horizontal="left" vertical="center" wrapText="1"/>
    </xf>
    <xf numFmtId="0" fontId="0" fillId="0" borderId="50" xfId="0" applyBorder="1" applyAlignment="1">
      <alignment horizontal="left" vertical="center" wrapText="1"/>
    </xf>
    <xf numFmtId="0" fontId="14" fillId="0" borderId="50" xfId="0" applyFont="1" applyBorder="1" applyAlignment="1">
      <alignment horizontal="left" vertical="center" wrapText="1"/>
    </xf>
    <xf numFmtId="0" fontId="0" fillId="0" borderId="50" xfId="0" applyBorder="1" applyAlignment="1">
      <alignment horizontal="center" vertical="center" wrapText="1"/>
    </xf>
    <xf numFmtId="0" fontId="14" fillId="0" borderId="50" xfId="1" applyFont="1" applyBorder="1" applyAlignment="1">
      <alignment horizontal="left" vertical="center" wrapText="1"/>
    </xf>
    <xf numFmtId="0" fontId="54" fillId="0" borderId="49" xfId="1" applyFont="1" applyBorder="1" applyAlignment="1">
      <alignment horizontal="center" vertical="center" wrapText="1"/>
    </xf>
    <xf numFmtId="0" fontId="54" fillId="0" borderId="46" xfId="1" applyFont="1" applyBorder="1" applyAlignment="1">
      <alignment horizontal="center" vertical="center" wrapText="1"/>
    </xf>
    <xf numFmtId="0" fontId="54" fillId="0" borderId="47" xfId="1" applyFont="1" applyBorder="1" applyAlignment="1">
      <alignment horizontal="center" vertical="center" wrapText="1"/>
    </xf>
    <xf numFmtId="0" fontId="54" fillId="0" borderId="4" xfId="1" applyFont="1" applyBorder="1" applyAlignment="1">
      <alignment horizontal="center" vertical="center" wrapText="1"/>
    </xf>
    <xf numFmtId="0" fontId="54" fillId="0" borderId="0" xfId="1" applyFont="1" applyAlignment="1">
      <alignment horizontal="center" vertical="center" wrapText="1"/>
    </xf>
    <xf numFmtId="0" fontId="54" fillId="0" borderId="5" xfId="1" applyFont="1" applyBorder="1" applyAlignment="1">
      <alignment horizontal="center" vertical="center" wrapText="1"/>
    </xf>
    <xf numFmtId="0" fontId="54" fillId="0" borderId="41" xfId="1" applyFont="1" applyBorder="1" applyAlignment="1">
      <alignment horizontal="center" vertical="center" wrapText="1"/>
    </xf>
    <xf numFmtId="0" fontId="54" fillId="0" borderId="6" xfId="1" applyFont="1" applyBorder="1" applyAlignment="1">
      <alignment horizontal="center" vertical="center" wrapText="1"/>
    </xf>
    <xf numFmtId="0" fontId="54" fillId="0" borderId="42" xfId="1" applyFont="1" applyBorder="1" applyAlignment="1">
      <alignment horizontal="center" vertical="center" wrapText="1"/>
    </xf>
    <xf numFmtId="0" fontId="13" fillId="0" borderId="50" xfId="1" applyFont="1" applyBorder="1" applyAlignment="1">
      <alignment horizontal="left" vertical="center" wrapText="1"/>
    </xf>
    <xf numFmtId="0" fontId="59" fillId="0" borderId="0" xfId="0" applyFont="1" applyAlignment="1">
      <alignment horizontal="right" vertical="center" wrapText="1"/>
    </xf>
    <xf numFmtId="0" fontId="0" fillId="0" borderId="0" xfId="0" applyAlignment="1">
      <alignment horizontal="right" vertical="center" wrapText="1"/>
    </xf>
    <xf numFmtId="0" fontId="62" fillId="0" borderId="0" xfId="0" applyFont="1" applyAlignment="1">
      <alignment horizontal="center" vertical="center" wrapText="1"/>
    </xf>
    <xf numFmtId="0" fontId="15" fillId="6" borderId="46" xfId="0" applyFont="1" applyFill="1" applyBorder="1" applyAlignment="1">
      <alignment horizontal="center" vertical="center" wrapText="1"/>
    </xf>
    <xf numFmtId="0" fontId="0" fillId="0" borderId="46" xfId="0" applyBorder="1" applyAlignment="1">
      <alignment horizontal="center" vertical="center" wrapText="1"/>
    </xf>
    <xf numFmtId="0" fontId="15" fillId="6" borderId="22" xfId="0" applyFont="1" applyFill="1" applyBorder="1" applyAlignment="1">
      <alignment horizontal="center" vertical="center"/>
    </xf>
    <xf numFmtId="0" fontId="15" fillId="6" borderId="47" xfId="0" applyFont="1" applyFill="1" applyBorder="1" applyAlignment="1">
      <alignment horizontal="center" vertical="center"/>
    </xf>
    <xf numFmtId="0" fontId="15" fillId="6" borderId="48" xfId="0" applyFont="1" applyFill="1" applyBorder="1" applyAlignment="1">
      <alignment horizontal="center" vertical="center"/>
    </xf>
    <xf numFmtId="0" fontId="13" fillId="0" borderId="23" xfId="0" applyFont="1" applyBorder="1"/>
    <xf numFmtId="0" fontId="0" fillId="0" borderId="23" xfId="0" applyBorder="1"/>
    <xf numFmtId="0" fontId="0" fillId="0" borderId="24" xfId="0" applyBorder="1"/>
    <xf numFmtId="0" fontId="60" fillId="0" borderId="34" xfId="0" applyFont="1" applyBorder="1" applyAlignment="1">
      <alignment horizontal="right"/>
    </xf>
    <xf numFmtId="0" fontId="59" fillId="0" borderId="35" xfId="0" applyFont="1" applyBorder="1" applyAlignment="1">
      <alignment horizontal="right"/>
    </xf>
    <xf numFmtId="0" fontId="12" fillId="0" borderId="34" xfId="0" applyFont="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0" fontId="47" fillId="0" borderId="34" xfId="0" applyFont="1" applyBorder="1" applyAlignment="1" applyProtection="1">
      <alignment horizontal="center"/>
      <protection locked="0"/>
    </xf>
    <xf numFmtId="0" fontId="48" fillId="0" borderId="35" xfId="0" applyFont="1" applyBorder="1" applyAlignment="1" applyProtection="1">
      <alignment horizontal="center"/>
      <protection locked="0"/>
    </xf>
    <xf numFmtId="0" fontId="63" fillId="0" borderId="0" xfId="0" applyFont="1" applyAlignment="1">
      <alignment horizontal="right"/>
    </xf>
    <xf numFmtId="0" fontId="0" fillId="0" borderId="0" xfId="0" applyAlignment="1">
      <alignment horizontal="right"/>
    </xf>
    <xf numFmtId="0" fontId="0" fillId="0" borderId="20" xfId="0" applyBorder="1" applyAlignment="1">
      <alignment horizontal="right"/>
    </xf>
    <xf numFmtId="0" fontId="8" fillId="0" borderId="9"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13" xfId="0" applyFont="1" applyBorder="1" applyAlignment="1">
      <alignment horizontal="center"/>
    </xf>
    <xf numFmtId="0" fontId="8" fillId="0" borderId="14" xfId="0" applyFont="1" applyBorder="1" applyAlignment="1">
      <alignment horizontal="center"/>
    </xf>
    <xf numFmtId="0" fontId="8" fillId="0" borderId="16" xfId="0" applyFont="1" applyBorder="1" applyAlignment="1">
      <alignment horizontal="center"/>
    </xf>
    <xf numFmtId="0" fontId="30"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0" xfId="0" applyAlignment="1">
      <alignment horizontal="center" vertical="center" wrapText="1"/>
    </xf>
    <xf numFmtId="0" fontId="0" fillId="0" borderId="13" xfId="0" applyBorder="1" applyAlignment="1">
      <alignment horizontal="center" vertical="center" wrapText="1"/>
    </xf>
    <xf numFmtId="0" fontId="56" fillId="0" borderId="14" xfId="0" applyFont="1" applyBorder="1" applyAlignment="1">
      <alignment horizontal="center" vertical="center" wrapText="1"/>
    </xf>
    <xf numFmtId="0" fontId="57" fillId="0" borderId="15" xfId="0" applyFont="1" applyBorder="1" applyAlignment="1">
      <alignment horizontal="center" vertical="center" wrapText="1"/>
    </xf>
    <xf numFmtId="0" fontId="57" fillId="0" borderId="16" xfId="0" applyFont="1" applyBorder="1" applyAlignment="1">
      <alignment horizontal="center" vertical="center" wrapText="1"/>
    </xf>
    <xf numFmtId="0" fontId="58" fillId="0" borderId="34" xfId="0" applyFont="1" applyBorder="1" applyAlignment="1">
      <alignment horizontal="right"/>
    </xf>
    <xf numFmtId="0" fontId="59" fillId="0" borderId="36" xfId="0" applyFont="1" applyBorder="1" applyAlignment="1">
      <alignment horizontal="right"/>
    </xf>
    <xf numFmtId="0" fontId="12" fillId="0" borderId="34" xfId="0" applyFont="1" applyBorder="1" applyAlignment="1" applyProtection="1">
      <alignment horizontal="center"/>
      <protection locked="0"/>
    </xf>
    <xf numFmtId="0" fontId="0" fillId="0" borderId="36" xfId="0" applyBorder="1" applyAlignment="1" applyProtection="1">
      <alignment horizontal="center"/>
      <protection locked="0"/>
    </xf>
    <xf numFmtId="0" fontId="0" fillId="0" borderId="35" xfId="0" applyBorder="1" applyAlignment="1" applyProtection="1">
      <alignment horizontal="center"/>
      <protection locked="0"/>
    </xf>
    <xf numFmtId="0" fontId="17" fillId="0" borderId="34" xfId="0" applyFont="1" applyBorder="1" applyAlignment="1">
      <alignment horizontal="center" wrapText="1"/>
    </xf>
    <xf numFmtId="0" fontId="18" fillId="0" borderId="36" xfId="0" applyFont="1" applyBorder="1" applyAlignment="1">
      <alignment horizontal="center" wrapText="1"/>
    </xf>
    <xf numFmtId="0" fontId="18" fillId="0" borderId="21" xfId="0" applyFont="1" applyBorder="1" applyAlignment="1">
      <alignment horizontal="center" wrapText="1"/>
    </xf>
    <xf numFmtId="0" fontId="61" fillId="0" borderId="36" xfId="0" applyFont="1" applyBorder="1" applyAlignment="1">
      <alignment horizontal="center"/>
    </xf>
    <xf numFmtId="0" fontId="59" fillId="0" borderId="35" xfId="0" applyFont="1" applyBorder="1" applyAlignment="1">
      <alignment horizontal="center"/>
    </xf>
    <xf numFmtId="0" fontId="52" fillId="13" borderId="39" xfId="3" applyFont="1" applyFill="1" applyBorder="1" applyAlignment="1">
      <alignment horizontal="center"/>
    </xf>
    <xf numFmtId="0" fontId="52" fillId="13" borderId="38" xfId="3" applyFont="1" applyFill="1" applyBorder="1" applyAlignment="1">
      <alignment horizontal="center"/>
    </xf>
    <xf numFmtId="0" fontId="52" fillId="13" borderId="18" xfId="3" applyFont="1" applyFill="1" applyBorder="1" applyAlignment="1">
      <alignment horizontal="center"/>
    </xf>
    <xf numFmtId="0" fontId="4" fillId="0" borderId="71" xfId="3" applyBorder="1" applyAlignment="1">
      <alignment horizontal="center"/>
    </xf>
    <xf numFmtId="0" fontId="4" fillId="0" borderId="67" xfId="3" applyBorder="1" applyAlignment="1">
      <alignment horizontal="center"/>
    </xf>
    <xf numFmtId="0" fontId="2" fillId="0" borderId="64" xfId="3" applyFont="1" applyBorder="1" applyAlignment="1">
      <alignment horizontal="left" wrapText="1"/>
    </xf>
    <xf numFmtId="0" fontId="2" fillId="0" borderId="65" xfId="3" applyFont="1" applyBorder="1" applyAlignment="1">
      <alignment horizontal="left" wrapText="1"/>
    </xf>
    <xf numFmtId="0" fontId="54" fillId="0" borderId="60" xfId="1" applyFont="1" applyBorder="1" applyAlignment="1">
      <alignment horizontal="center" vertical="center" wrapText="1"/>
    </xf>
    <xf numFmtId="0" fontId="54" fillId="0" borderId="61" xfId="1" applyFont="1" applyBorder="1" applyAlignment="1">
      <alignment horizontal="center" vertical="center" wrapText="1"/>
    </xf>
    <xf numFmtId="0" fontId="54" fillId="0" borderId="62" xfId="1" applyFont="1" applyBorder="1" applyAlignment="1">
      <alignment horizontal="center" vertical="center" wrapText="1"/>
    </xf>
    <xf numFmtId="0" fontId="54" fillId="0" borderId="63" xfId="1" applyFont="1" applyBorder="1" applyAlignment="1">
      <alignment horizontal="center" vertical="center" wrapText="1"/>
    </xf>
    <xf numFmtId="0" fontId="54" fillId="0" borderId="57" xfId="1" applyFont="1" applyBorder="1" applyAlignment="1">
      <alignment horizontal="center" vertical="center" wrapText="1"/>
    </xf>
    <xf numFmtId="0" fontId="54" fillId="0" borderId="58" xfId="1" applyFont="1" applyBorder="1" applyAlignment="1">
      <alignment horizontal="center" vertical="center" wrapText="1"/>
    </xf>
    <xf numFmtId="0" fontId="54" fillId="0" borderId="59" xfId="1" applyFont="1" applyBorder="1" applyAlignment="1">
      <alignment horizontal="center" vertical="center" wrapText="1"/>
    </xf>
    <xf numFmtId="0" fontId="3" fillId="0" borderId="66" xfId="3" applyFont="1" applyBorder="1" applyAlignment="1">
      <alignment horizontal="center" vertical="center" wrapText="1"/>
    </xf>
    <xf numFmtId="0" fontId="3" fillId="0" borderId="67" xfId="3" applyFont="1" applyBorder="1" applyAlignment="1">
      <alignment horizontal="center" vertical="center" wrapText="1"/>
    </xf>
    <xf numFmtId="0" fontId="3" fillId="0" borderId="19" xfId="3" applyFont="1" applyBorder="1" applyAlignment="1">
      <alignment horizontal="center" vertical="center" wrapText="1"/>
    </xf>
    <xf numFmtId="0" fontId="9" fillId="0" borderId="68" xfId="3" applyFont="1" applyBorder="1" applyAlignment="1">
      <alignment horizontal="center" vertical="center" wrapText="1"/>
    </xf>
    <xf numFmtId="0" fontId="9" fillId="0" borderId="69" xfId="3" applyFont="1" applyBorder="1" applyAlignment="1">
      <alignment horizontal="center" vertical="center" wrapText="1"/>
    </xf>
    <xf numFmtId="0" fontId="9" fillId="0" borderId="70" xfId="3" applyFont="1" applyBorder="1" applyAlignment="1">
      <alignment horizontal="center" vertical="center" wrapText="1"/>
    </xf>
    <xf numFmtId="0" fontId="9" fillId="0" borderId="63" xfId="3" applyFont="1" applyBorder="1" applyAlignment="1">
      <alignment horizontal="center" vertical="center" wrapText="1"/>
    </xf>
    <xf numFmtId="0" fontId="9" fillId="0" borderId="0" xfId="3" applyFont="1" applyAlignment="1">
      <alignment horizontal="center" vertical="center" wrapText="1"/>
    </xf>
    <xf numFmtId="0" fontId="9" fillId="0" borderId="5" xfId="3" applyFont="1" applyBorder="1" applyAlignment="1">
      <alignment horizontal="center" vertical="center" wrapText="1"/>
    </xf>
    <xf numFmtId="0" fontId="9" fillId="0" borderId="57" xfId="3" applyFont="1" applyBorder="1" applyAlignment="1">
      <alignment horizontal="center" vertical="center" wrapText="1"/>
    </xf>
    <xf numFmtId="0" fontId="9" fillId="0" borderId="58" xfId="3" applyFont="1" applyBorder="1" applyAlignment="1">
      <alignment horizontal="center" vertical="center" wrapText="1"/>
    </xf>
    <xf numFmtId="0" fontId="9" fillId="0" borderId="59" xfId="3" applyFont="1" applyBorder="1" applyAlignment="1">
      <alignment horizontal="center" vertical="center" wrapText="1"/>
    </xf>
    <xf numFmtId="0" fontId="54" fillId="0" borderId="40" xfId="1" applyFont="1" applyBorder="1" applyAlignment="1">
      <alignment horizontal="center" vertical="center" wrapText="1"/>
    </xf>
    <xf numFmtId="0" fontId="54" fillId="0" borderId="1" xfId="1" applyFont="1" applyBorder="1" applyAlignment="1">
      <alignment horizontal="center" vertical="center" wrapText="1"/>
    </xf>
    <xf numFmtId="0" fontId="54" fillId="0" borderId="68" xfId="1" applyFont="1" applyBorder="1" applyAlignment="1">
      <alignment horizontal="center" vertical="center" wrapText="1"/>
    </xf>
    <xf numFmtId="0" fontId="54" fillId="0" borderId="69" xfId="1" applyFont="1" applyBorder="1" applyAlignment="1">
      <alignment horizontal="center" vertical="center" wrapText="1"/>
    </xf>
    <xf numFmtId="0" fontId="54" fillId="0" borderId="70" xfId="1" applyFont="1" applyBorder="1" applyAlignment="1">
      <alignment horizontal="center" vertical="center" wrapText="1"/>
    </xf>
    <xf numFmtId="0" fontId="72" fillId="0" borderId="40" xfId="3" applyFont="1" applyBorder="1" applyAlignment="1">
      <alignment horizontal="left" vertical="center" wrapText="1"/>
    </xf>
    <xf numFmtId="0" fontId="72" fillId="0" borderId="1" xfId="3" applyFont="1" applyBorder="1" applyAlignment="1">
      <alignment horizontal="left" vertical="center" wrapText="1"/>
    </xf>
    <xf numFmtId="0" fontId="72" fillId="0" borderId="2" xfId="3" applyFont="1" applyBorder="1" applyAlignment="1">
      <alignment horizontal="left" vertical="center" wrapText="1"/>
    </xf>
    <xf numFmtId="0" fontId="72" fillId="0" borderId="4" xfId="3" applyFont="1" applyBorder="1" applyAlignment="1">
      <alignment horizontal="left" vertical="center" wrapText="1"/>
    </xf>
    <xf numFmtId="0" fontId="72" fillId="0" borderId="0" xfId="3" applyFont="1" applyAlignment="1">
      <alignment horizontal="left" vertical="center" wrapText="1"/>
    </xf>
    <xf numFmtId="0" fontId="72" fillId="0" borderId="5" xfId="3" applyFont="1" applyBorder="1" applyAlignment="1">
      <alignment horizontal="left" vertical="center" wrapText="1"/>
    </xf>
    <xf numFmtId="0" fontId="22" fillId="0" borderId="4" xfId="3" applyFont="1" applyBorder="1" applyAlignment="1">
      <alignment horizontal="left" vertical="center" wrapText="1"/>
    </xf>
    <xf numFmtId="0" fontId="72" fillId="0" borderId="3" xfId="1" applyFont="1" applyBorder="1" applyAlignment="1">
      <alignment horizontal="left" vertical="center" wrapText="1"/>
    </xf>
    <xf numFmtId="0" fontId="72" fillId="0" borderId="64" xfId="1" applyFont="1" applyBorder="1" applyAlignment="1">
      <alignment horizontal="left" vertical="center" wrapText="1"/>
    </xf>
    <xf numFmtId="0" fontId="79" fillId="0" borderId="4" xfId="3" applyFont="1" applyBorder="1" applyAlignment="1">
      <alignment horizontal="left" vertical="center" wrapText="1"/>
    </xf>
    <xf numFmtId="0" fontId="79" fillId="0" borderId="0" xfId="3" applyFont="1" applyAlignment="1">
      <alignment horizontal="left" vertical="center" wrapText="1"/>
    </xf>
    <xf numFmtId="0" fontId="79" fillId="0" borderId="5" xfId="3" applyFont="1" applyBorder="1" applyAlignment="1">
      <alignment horizontal="left" vertical="center" wrapText="1"/>
    </xf>
    <xf numFmtId="0" fontId="9" fillId="0" borderId="40" xfId="3" applyFont="1" applyBorder="1" applyAlignment="1">
      <alignment horizontal="center" vertical="center" wrapText="1"/>
    </xf>
    <xf numFmtId="0" fontId="9" fillId="0" borderId="1" xfId="3" applyFont="1" applyBorder="1" applyAlignment="1">
      <alignment horizontal="center" vertical="center" wrapText="1"/>
    </xf>
    <xf numFmtId="0" fontId="9" fillId="0" borderId="4" xfId="3" applyFont="1" applyBorder="1" applyAlignment="1">
      <alignment horizontal="center" vertical="center" wrapText="1"/>
    </xf>
    <xf numFmtId="0" fontId="9" fillId="0" borderId="49" xfId="3" applyFont="1" applyBorder="1" applyAlignment="1">
      <alignment horizontal="center" vertical="center" wrapText="1"/>
    </xf>
    <xf numFmtId="0" fontId="9" fillId="0" borderId="46" xfId="3" applyFont="1" applyBorder="1" applyAlignment="1">
      <alignment horizontal="center" vertical="center" wrapText="1"/>
    </xf>
    <xf numFmtId="0" fontId="9" fillId="0" borderId="47" xfId="3" applyFont="1" applyBorder="1" applyAlignment="1">
      <alignment horizontal="center" vertical="center" wrapText="1"/>
    </xf>
    <xf numFmtId="0" fontId="78" fillId="0" borderId="63" xfId="3" applyFont="1" applyBorder="1" applyAlignment="1">
      <alignment horizontal="left" vertical="center" wrapText="1"/>
    </xf>
    <xf numFmtId="0" fontId="78" fillId="0" borderId="0" xfId="3" applyFont="1" applyAlignment="1">
      <alignment horizontal="left" vertical="center" wrapText="1"/>
    </xf>
    <xf numFmtId="0" fontId="78" fillId="0" borderId="5" xfId="3" applyFont="1" applyBorder="1" applyAlignment="1">
      <alignment horizontal="left" vertical="center" wrapText="1"/>
    </xf>
    <xf numFmtId="0" fontId="73" fillId="0" borderId="41" xfId="3" applyFont="1" applyBorder="1" applyAlignment="1">
      <alignment horizontal="left" vertical="center" wrapText="1"/>
    </xf>
    <xf numFmtId="0" fontId="73" fillId="0" borderId="6" xfId="3" applyFont="1" applyBorder="1" applyAlignment="1">
      <alignment horizontal="left" vertical="center" wrapText="1"/>
    </xf>
    <xf numFmtId="0" fontId="73" fillId="0" borderId="42" xfId="3" applyFont="1" applyBorder="1" applyAlignment="1">
      <alignment horizontal="left" vertical="center" wrapText="1"/>
    </xf>
    <xf numFmtId="0" fontId="72" fillId="0" borderId="4" xfId="3" applyFont="1" applyBorder="1" applyAlignment="1">
      <alignment horizontal="left" wrapText="1"/>
    </xf>
    <xf numFmtId="0" fontId="72" fillId="0" borderId="0" xfId="3" applyFont="1" applyAlignment="1">
      <alignment horizontal="left" wrapText="1"/>
    </xf>
    <xf numFmtId="0" fontId="72" fillId="0" borderId="5" xfId="3" applyFont="1" applyBorder="1" applyAlignment="1">
      <alignment horizontal="left" wrapText="1"/>
    </xf>
    <xf numFmtId="0" fontId="72" fillId="16" borderId="41" xfId="3" applyFont="1" applyFill="1" applyBorder="1" applyAlignment="1">
      <alignment horizontal="left" vertical="center" wrapText="1"/>
    </xf>
    <xf numFmtId="0" fontId="72" fillId="16" borderId="6" xfId="3" applyFont="1" applyFill="1" applyBorder="1" applyAlignment="1">
      <alignment horizontal="left" vertical="center" wrapText="1"/>
    </xf>
    <xf numFmtId="0" fontId="72" fillId="16" borderId="42" xfId="3" applyFont="1" applyFill="1" applyBorder="1" applyAlignment="1">
      <alignment horizontal="left" vertical="center" wrapText="1"/>
    </xf>
    <xf numFmtId="0" fontId="72" fillId="0" borderId="68" xfId="3" applyFont="1" applyBorder="1" applyAlignment="1">
      <alignment horizontal="left" vertical="center" wrapText="1"/>
    </xf>
    <xf numFmtId="0" fontId="72" fillId="0" borderId="69" xfId="3" applyFont="1" applyBorder="1" applyAlignment="1">
      <alignment horizontal="left" vertical="center" wrapText="1"/>
    </xf>
    <xf numFmtId="0" fontId="72" fillId="0" borderId="70" xfId="3" applyFont="1" applyBorder="1" applyAlignment="1">
      <alignment horizontal="left" vertical="center" wrapText="1"/>
    </xf>
    <xf numFmtId="0" fontId="72" fillId="0" borderId="63" xfId="3" applyFont="1" applyBorder="1" applyAlignment="1">
      <alignment horizontal="left" vertical="center" wrapText="1"/>
    </xf>
    <xf numFmtId="0" fontId="2" fillId="0" borderId="46" xfId="3" applyFont="1" applyBorder="1" applyAlignment="1">
      <alignment horizontal="left" wrapText="1"/>
    </xf>
    <xf numFmtId="0" fontId="2" fillId="0" borderId="61" xfId="3" applyFont="1" applyBorder="1" applyAlignment="1">
      <alignment horizontal="left" wrapText="1"/>
    </xf>
    <xf numFmtId="0" fontId="76" fillId="0" borderId="63" xfId="0" applyFont="1" applyBorder="1" applyAlignment="1">
      <alignment horizontal="left" wrapText="1"/>
    </xf>
    <xf numFmtId="0" fontId="76" fillId="0" borderId="0" xfId="0" applyFont="1" applyAlignment="1">
      <alignment horizontal="left" wrapText="1"/>
    </xf>
    <xf numFmtId="0" fontId="76" fillId="0" borderId="5" xfId="0" applyFont="1" applyBorder="1" applyAlignment="1">
      <alignment horizontal="left" wrapText="1"/>
    </xf>
    <xf numFmtId="0" fontId="72" fillId="0" borderId="49" xfId="3" applyFont="1" applyBorder="1" applyAlignment="1">
      <alignment horizontal="left" vertical="center" wrapText="1"/>
    </xf>
    <xf numFmtId="0" fontId="72" fillId="0" borderId="46" xfId="3" applyFont="1" applyBorder="1" applyAlignment="1">
      <alignment horizontal="left" vertical="center" wrapText="1"/>
    </xf>
    <xf numFmtId="0" fontId="72" fillId="0" borderId="47" xfId="3" applyFont="1" applyBorder="1" applyAlignment="1">
      <alignment horizontal="left" vertical="center" wrapText="1"/>
    </xf>
    <xf numFmtId="0" fontId="2" fillId="0" borderId="66" xfId="3" applyFont="1" applyBorder="1" applyAlignment="1">
      <alignment horizontal="center" vertical="center" wrapText="1"/>
    </xf>
    <xf numFmtId="0" fontId="77" fillId="0" borderId="60" xfId="1" applyFont="1" applyBorder="1" applyAlignment="1">
      <alignment horizontal="center" vertical="center" wrapText="1"/>
    </xf>
    <xf numFmtId="0" fontId="77" fillId="0" borderId="61" xfId="1" applyFont="1" applyBorder="1" applyAlignment="1">
      <alignment horizontal="center" vertical="center" wrapText="1"/>
    </xf>
    <xf numFmtId="0" fontId="77" fillId="0" borderId="62" xfId="1" applyFont="1" applyBorder="1" applyAlignment="1">
      <alignment horizontal="center" vertical="center" wrapText="1"/>
    </xf>
    <xf numFmtId="0" fontId="77" fillId="0" borderId="63" xfId="1" applyFont="1" applyBorder="1" applyAlignment="1">
      <alignment horizontal="center" vertical="center" wrapText="1"/>
    </xf>
    <xf numFmtId="0" fontId="77" fillId="0" borderId="0" xfId="1" applyFont="1" applyAlignment="1">
      <alignment horizontal="center" vertical="center" wrapText="1"/>
    </xf>
    <xf numFmtId="0" fontId="77" fillId="0" borderId="5" xfId="1" applyFont="1" applyBorder="1" applyAlignment="1">
      <alignment horizontal="center" vertical="center" wrapText="1"/>
    </xf>
    <xf numFmtId="0" fontId="77" fillId="0" borderId="57" xfId="1" applyFont="1" applyBorder="1" applyAlignment="1">
      <alignment horizontal="center" vertical="center" wrapText="1"/>
    </xf>
    <xf numFmtId="0" fontId="77" fillId="0" borderId="58" xfId="1" applyFont="1" applyBorder="1" applyAlignment="1">
      <alignment horizontal="center" vertical="center" wrapText="1"/>
    </xf>
    <xf numFmtId="0" fontId="77" fillId="0" borderId="59" xfId="1" applyFont="1" applyBorder="1" applyAlignment="1">
      <alignment horizontal="center" vertical="center" wrapText="1"/>
    </xf>
    <xf numFmtId="0" fontId="78" fillId="0" borderId="46" xfId="3" applyFont="1" applyBorder="1" applyAlignment="1">
      <alignment horizontal="left" wrapText="1"/>
    </xf>
    <xf numFmtId="0" fontId="78" fillId="0" borderId="61" xfId="3" applyFont="1" applyBorder="1" applyAlignment="1">
      <alignment horizontal="left" wrapText="1"/>
    </xf>
    <xf numFmtId="0" fontId="78" fillId="0" borderId="64" xfId="3" applyFont="1" applyBorder="1" applyAlignment="1">
      <alignment horizontal="left" wrapText="1"/>
    </xf>
    <xf numFmtId="0" fontId="78" fillId="0" borderId="65" xfId="3" applyFont="1" applyBorder="1" applyAlignment="1">
      <alignment horizontal="left" wrapText="1"/>
    </xf>
    <xf numFmtId="0" fontId="79" fillId="0" borderId="41" xfId="3" applyFont="1" applyBorder="1" applyAlignment="1">
      <alignment horizontal="left" vertical="center" wrapText="1"/>
    </xf>
    <xf numFmtId="0" fontId="79" fillId="0" borderId="6" xfId="3" applyFont="1" applyBorder="1" applyAlignment="1">
      <alignment horizontal="left" vertical="center" wrapText="1"/>
    </xf>
    <xf numFmtId="0" fontId="79" fillId="0" borderId="42" xfId="3" applyFont="1" applyBorder="1" applyAlignment="1">
      <alignment horizontal="left" vertical="center" wrapText="1"/>
    </xf>
    <xf numFmtId="0" fontId="72" fillId="3" borderId="41" xfId="3" applyFont="1" applyFill="1" applyBorder="1" applyAlignment="1">
      <alignment horizontal="left" vertical="center" wrapText="1"/>
    </xf>
    <xf numFmtId="0" fontId="72" fillId="3" borderId="58" xfId="3" applyFont="1" applyFill="1" applyBorder="1" applyAlignment="1">
      <alignment horizontal="left" vertical="center" wrapText="1"/>
    </xf>
    <xf numFmtId="0" fontId="72" fillId="3" borderId="59" xfId="3" applyFont="1" applyFill="1" applyBorder="1" applyAlignment="1">
      <alignment horizontal="left" vertical="center" wrapText="1"/>
    </xf>
    <xf numFmtId="0" fontId="72" fillId="0" borderId="41" xfId="3" applyFont="1" applyBorder="1" applyAlignment="1">
      <alignment horizontal="left" vertical="center" wrapText="1"/>
    </xf>
    <xf numFmtId="0" fontId="72" fillId="0" borderId="58" xfId="3" applyFont="1" applyBorder="1" applyAlignment="1">
      <alignment horizontal="left" vertical="center" wrapText="1"/>
    </xf>
    <xf numFmtId="0" fontId="72" fillId="0" borderId="59" xfId="3" applyFont="1" applyBorder="1" applyAlignment="1">
      <alignment horizontal="left" vertical="center" wrapText="1"/>
    </xf>
  </cellXfs>
  <cellStyles count="8">
    <cellStyle name="Normal" xfId="0" builtinId="0"/>
    <cellStyle name="Normal 2" xfId="2" xr:uid="{00000000-0005-0000-0000-000001000000}"/>
    <cellStyle name="Normal 2 2" xfId="1" xr:uid="{00000000-0005-0000-0000-000002000000}"/>
    <cellStyle name="Normal 2 3" xfId="5" xr:uid="{18180035-4A45-4556-BAB9-0E5A1E1C1EA0}"/>
    <cellStyle name="Normal 3" xfId="3" xr:uid="{00000000-0005-0000-0000-000003000000}"/>
    <cellStyle name="Normal 3 2" xfId="6" xr:uid="{6D9D74B4-73E7-4862-A9B3-62AEA904E72B}"/>
    <cellStyle name="Normal 3 3" xfId="4" xr:uid="{00000000-0005-0000-0000-000004000000}"/>
    <cellStyle name="Normal 3 3 2" xfId="7" xr:uid="{3C8B299C-4607-4FBB-B460-2AF4AFDC2C3F}"/>
  </cellStyles>
  <dxfs count="29">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1"/>
          <a:lstStyle/>
          <a:p>
            <a:pPr>
              <a:defRPr sz="1500" b="1" i="0" u="none" strike="noStrike" kern="1200" baseline="0">
                <a:solidFill>
                  <a:srgbClr val="FF0000"/>
                </a:solidFill>
                <a:latin typeface="Arial Narrow" panose="020B0606020202030204" pitchFamily="34" charset="0"/>
                <a:ea typeface="+mn-ea"/>
                <a:cs typeface="+mn-cs"/>
              </a:defRPr>
            </a:pPr>
            <a:r>
              <a:rPr lang="es-CO" sz="1500">
                <a:solidFill>
                  <a:srgbClr val="FF0000"/>
                </a:solidFill>
                <a:latin typeface="Arial Narrow" panose="020B0606020202030204" pitchFamily="34" charset="0"/>
              </a:rPr>
              <a:t>GRÁFICO COMPETENCIAS EVALUADAS</a:t>
            </a:r>
          </a:p>
        </c:rich>
      </c:tx>
      <c:layout>
        <c:manualLayout>
          <c:xMode val="edge"/>
          <c:yMode val="edge"/>
          <c:x val="0.35683315579821184"/>
          <c:y val="0.91098086066205186"/>
        </c:manualLayout>
      </c:layout>
      <c:overlay val="0"/>
      <c:spPr>
        <a:noFill/>
        <a:ln>
          <a:noFill/>
        </a:ln>
        <a:effectLst/>
      </c:spPr>
    </c:title>
    <c:autoTitleDeleted val="0"/>
    <c:plotArea>
      <c:layout>
        <c:manualLayout>
          <c:layoutTarget val="inner"/>
          <c:xMode val="edge"/>
          <c:yMode val="edge"/>
          <c:x val="0.33107773571617222"/>
          <c:y val="5.2083367741409814E-2"/>
          <c:w val="0.62935779816513771"/>
          <c:h val="0.80902777777777779"/>
        </c:manualLayout>
      </c:layout>
      <c:barChart>
        <c:barDir val="bar"/>
        <c:grouping val="clustered"/>
        <c:varyColors val="0"/>
        <c:ser>
          <c:idx val="0"/>
          <c:order val="0"/>
          <c:spPr>
            <a:gradFill flip="none" rotWithShape="1">
              <a:gsLst>
                <a:gs pos="58000">
                  <a:srgbClr val="FF0000"/>
                </a:gs>
                <a:gs pos="78000">
                  <a:schemeClr val="accent2">
                    <a:lumMod val="97000"/>
                    <a:lumOff val="3000"/>
                  </a:schemeClr>
                </a:gs>
                <a:gs pos="94000">
                  <a:schemeClr val="accent2">
                    <a:lumMod val="60000"/>
                    <a:lumOff val="40000"/>
                  </a:schemeClr>
                </a:gs>
              </a:gsLst>
              <a:path path="circle">
                <a:fillToRect l="100000" t="100000"/>
              </a:path>
              <a:tileRect r="-100000" b="-10000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'EVALUACION DESEMPEÑO'!$C$75:$C$87</c:f>
              <c:numCache>
                <c:formatCode>General</c:formatCode>
                <c:ptCount val="13"/>
              </c:numCache>
            </c:numRef>
          </c:cat>
          <c:val>
            <c:numRef>
              <c:f>'EVALUACION DESEMPEÑO'!$D$75:$D$86</c:f>
              <c:numCache>
                <c:formatCode>General</c:formatCode>
                <c:ptCount val="12"/>
              </c:numCache>
            </c:numRef>
          </c:val>
          <c:extLst>
            <c:ext xmlns:c16="http://schemas.microsoft.com/office/drawing/2014/chart" uri="{C3380CC4-5D6E-409C-BE32-E72D297353CC}">
              <c16:uniqueId val="{00000000-D980-8E44-983D-9CE5CD14510A}"/>
            </c:ext>
          </c:extLst>
        </c:ser>
        <c:dLbls>
          <c:dLblPos val="inEnd"/>
          <c:showLegendKey val="0"/>
          <c:showVal val="1"/>
          <c:showCatName val="0"/>
          <c:showSerName val="0"/>
          <c:showPercent val="0"/>
          <c:showBubbleSize val="0"/>
        </c:dLbls>
        <c:gapWidth val="115"/>
        <c:overlap val="-20"/>
        <c:axId val="308736584"/>
        <c:axId val="308736968"/>
      </c:barChart>
      <c:catAx>
        <c:axId val="308736584"/>
        <c:scaling>
          <c:orientation val="maxMin"/>
        </c:scaling>
        <c:delete val="0"/>
        <c:axPos val="l"/>
        <c:numFmt formatCode="General" sourceLinked="1"/>
        <c:majorTickMark val="none"/>
        <c:minorTickMark val="none"/>
        <c:tickLblPos val="nextTo"/>
        <c:spPr>
          <a:noFill/>
          <a:ln w="12700" cap="flat" cmpd="sng" algn="ctr">
            <a:solidFill>
              <a:schemeClr val="bg1">
                <a:lumMod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8736968"/>
        <c:crosses val="autoZero"/>
        <c:auto val="1"/>
        <c:lblAlgn val="ctr"/>
        <c:lblOffset val="100"/>
        <c:tickLblSkip val="1"/>
        <c:tickMarkSkip val="1"/>
        <c:noMultiLvlLbl val="0"/>
      </c:catAx>
      <c:valAx>
        <c:axId val="308736968"/>
        <c:scaling>
          <c:orientation val="minMax"/>
          <c:max val="10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8736584"/>
        <c:crosses val="autoZero"/>
        <c:crossBetween val="between"/>
      </c:valAx>
      <c:spPr>
        <a:noFill/>
        <a:ln>
          <a:solidFill>
            <a:schemeClr val="tx1">
              <a:lumMod val="15000"/>
              <a:lumOff val="8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alignWithMargins="0"/>
    <c:pageMargins b="1" l="0.75000000000000211" r="0.75000000000000211" t="1" header="0" footer="0"/>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g"/><Relationship Id="rId1" Type="http://schemas.openxmlformats.org/officeDocument/2006/relationships/image" Target="../media/image1.png"/><Relationship Id="rId5" Type="http://schemas.openxmlformats.org/officeDocument/2006/relationships/image" Target="../media/image4.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752475</xdr:colOff>
          <xdr:row>8</xdr:row>
          <xdr:rowOff>28575</xdr:rowOff>
        </xdr:from>
        <xdr:to>
          <xdr:col>4</xdr:col>
          <xdr:colOff>1381125</xdr:colOff>
          <xdr:row>10</xdr:row>
          <xdr:rowOff>38100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500" b="1" i="0" u="none" strike="noStrike" baseline="0">
                  <a:solidFill>
                    <a:srgbClr val="0000FF"/>
                  </a:solidFill>
                  <a:latin typeface="Arial"/>
                  <a:cs typeface="Arial"/>
                </a:rPr>
                <a:t>REGISTRAR EVALUACION PERSONAL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657225</xdr:colOff>
          <xdr:row>28</xdr:row>
          <xdr:rowOff>0</xdr:rowOff>
        </xdr:from>
        <xdr:to>
          <xdr:col>4</xdr:col>
          <xdr:colOff>1552575</xdr:colOff>
          <xdr:row>29</xdr:row>
          <xdr:rowOff>114300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0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500" b="1" i="0" u="none" strike="noStrike" baseline="0">
                  <a:solidFill>
                    <a:srgbClr val="FF0000"/>
                  </a:solidFill>
                  <a:latin typeface="Arial"/>
                  <a:cs typeface="Arial"/>
                </a:rPr>
                <a:t>SALIDA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752475</xdr:colOff>
          <xdr:row>11</xdr:row>
          <xdr:rowOff>0</xdr:rowOff>
        </xdr:from>
        <xdr:to>
          <xdr:col>4</xdr:col>
          <xdr:colOff>1381125</xdr:colOff>
          <xdr:row>13</xdr:row>
          <xdr:rowOff>28575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0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500" b="1" i="0" u="none" strike="noStrike" baseline="0">
                  <a:solidFill>
                    <a:srgbClr val="008000"/>
                  </a:solidFill>
                  <a:latin typeface="Arial"/>
                  <a:cs typeface="Arial"/>
                </a:rPr>
                <a:t>GENERAR BACKUP ARCHIVO PERSONAL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16383</xdr:col>
          <xdr:colOff>0</xdr:colOff>
          <xdr:row>17</xdr:row>
          <xdr:rowOff>142875</xdr:rowOff>
        </xdr:from>
        <xdr:to>
          <xdr:col>16383</xdr:col>
          <xdr:colOff>0</xdr:colOff>
          <xdr:row>19</xdr:row>
          <xdr:rowOff>104775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0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900" b="1" i="0" u="none" strike="noStrike" baseline="0">
                  <a:solidFill>
                    <a:srgbClr val="0000FF"/>
                  </a:solidFill>
                  <a:latin typeface="Arial"/>
                  <a:cs typeface="Arial"/>
                </a:rPr>
                <a:t>ACTUALIZAR GOLES Y FECHAS DE SUSPENSION</a:t>
              </a:r>
            </a:p>
          </xdr:txBody>
        </xdr:sp>
        <xdr:clientData fPrintsWithSheet="0"/>
      </xdr:twoCellAnchor>
    </mc:Choice>
    <mc:Fallback/>
  </mc:AlternateContent>
  <xdr:twoCellAnchor editAs="oneCell">
    <xdr:from>
      <xdr:col>1</xdr:col>
      <xdr:colOff>133350</xdr:colOff>
      <xdr:row>1</xdr:row>
      <xdr:rowOff>57150</xdr:rowOff>
    </xdr:from>
    <xdr:to>
      <xdr:col>2</xdr:col>
      <xdr:colOff>122705</xdr:colOff>
      <xdr:row>3</xdr:row>
      <xdr:rowOff>209550</xdr:rowOff>
    </xdr:to>
    <xdr:pic>
      <xdr:nvPicPr>
        <xdr:cNvPr id="9" name="Imagen 3" descr="http://carrerasuniversitarias.com.co/logos/original/logo-corsalud.png">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l="5251" t="18823" r="69749" b="18234"/>
        <a:stretch>
          <a:fillRect/>
        </a:stretch>
      </xdr:blipFill>
      <xdr:spPr bwMode="auto">
        <a:xfrm>
          <a:off x="333375" y="257175"/>
          <a:ext cx="808505"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6</xdr:col>
          <xdr:colOff>0</xdr:colOff>
          <xdr:row>31</xdr:row>
          <xdr:rowOff>47625</xdr:rowOff>
        </xdr:from>
        <xdr:to>
          <xdr:col>6</xdr:col>
          <xdr:colOff>0</xdr:colOff>
          <xdr:row>31</xdr:row>
          <xdr:rowOff>47625</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000-000005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FF0000"/>
                  </a:solidFill>
                  <a:latin typeface="Arial"/>
                  <a:cs typeface="Arial"/>
                </a:rPr>
                <a:t>BACKUP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1233239</xdr:colOff>
      <xdr:row>0</xdr:row>
      <xdr:rowOff>20052</xdr:rowOff>
    </xdr:from>
    <xdr:to>
      <xdr:col>2</xdr:col>
      <xdr:colOff>2041744</xdr:colOff>
      <xdr:row>2</xdr:row>
      <xdr:rowOff>270710</xdr:rowOff>
    </xdr:to>
    <xdr:pic>
      <xdr:nvPicPr>
        <xdr:cNvPr id="2" name="Imagen 3" descr="http://carrerasuniversitarias.com.co/logos/original/logo-corsalud.png">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l="5251" t="18823" r="69749" b="18234"/>
        <a:stretch>
          <a:fillRect/>
        </a:stretch>
      </xdr:blipFill>
      <xdr:spPr bwMode="auto">
        <a:xfrm>
          <a:off x="1347539" y="20052"/>
          <a:ext cx="808505" cy="6507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14</xdr:col>
      <xdr:colOff>531394</xdr:colOff>
      <xdr:row>73</xdr:row>
      <xdr:rowOff>60181</xdr:rowOff>
    </xdr:from>
    <xdr:to>
      <xdr:col>16</xdr:col>
      <xdr:colOff>177966</xdr:colOff>
      <xdr:row>75</xdr:row>
      <xdr:rowOff>163452</xdr:rowOff>
    </xdr:to>
    <xdr:sp macro="[2]!Hoja10.subir" textlink="">
      <xdr:nvSpPr>
        <xdr:cNvPr id="3" name="Button 2">
          <a:extLst>
            <a:ext uri="{FF2B5EF4-FFF2-40B4-BE49-F238E27FC236}">
              <a16:creationId xmlns:a16="http://schemas.microsoft.com/office/drawing/2014/main" id="{00000000-0008-0000-0300-000003000000}"/>
            </a:ext>
          </a:extLst>
        </xdr:cNvPr>
        <xdr:cNvSpPr/>
      </xdr:nvSpPr>
      <xdr:spPr bwMode="auto">
        <a:xfrm>
          <a:off x="14094994" y="33921556"/>
          <a:ext cx="427622" cy="512846"/>
        </a:xfrm>
        <a:prstGeom prst="rect">
          <a:avLst/>
        </a:prstGeom>
        <a:blipFill>
          <a:blip xmlns:r="http://schemas.openxmlformats.org/officeDocument/2006/relationships" r:embed="rId2"/>
          <a:stretch>
            <a:fillRect/>
          </a:stretch>
        </a:blipFill>
        <a:ln w="25400" cap="sq" cmpd="sng">
          <a:solidFill>
            <a:schemeClr val="tx2">
              <a:lumMod val="50000"/>
            </a:schemeClr>
          </a:solidFill>
          <a:round/>
          <a:headEnd/>
          <a:tailEnd/>
        </a:ln>
        <a:effectLst>
          <a:glow rad="101600">
            <a:schemeClr val="accent1">
              <a:satMod val="175000"/>
              <a:alpha val="40000"/>
            </a:schemeClr>
          </a:glow>
          <a:outerShdw blurRad="50800" dist="38100" dir="13500000" algn="br" rotWithShape="0">
            <a:prstClr val="black">
              <a:alpha val="40000"/>
            </a:prstClr>
          </a:outerShdw>
        </a:effectLst>
        <a:scene3d>
          <a:camera prst="orthographicFront">
            <a:rot lat="0" lon="0" rev="10799999"/>
          </a:camera>
          <a:lightRig rig="threePt" dir="t"/>
        </a:scene3d>
      </xdr:spPr>
      <xdr:txBody>
        <a:bodyPr vertOverflow="clip" wrap="square" lIns="27432" tIns="22860" rIns="27432" bIns="22860" anchor="ctr" upright="1"/>
        <a:lstStyle/>
        <a:p>
          <a:pPr algn="ctr" rtl="0">
            <a:defRPr sz="1000"/>
          </a:pPr>
          <a:endParaRPr lang="es-CO" sz="900" b="1" i="0" u="none" strike="noStrike" baseline="0">
            <a:solidFill>
              <a:srgbClr val="800000"/>
            </a:solidFill>
            <a:latin typeface="Arial"/>
            <a:cs typeface="Arial"/>
          </a:endParaRPr>
        </a:p>
      </xdr:txBody>
    </xdr:sp>
    <xdr:clientData fPrintsWithSheet="0"/>
  </xdr:twoCellAnchor>
  <xdr:twoCellAnchor>
    <xdr:from>
      <xdr:col>3</xdr:col>
      <xdr:colOff>60156</xdr:colOff>
      <xdr:row>0</xdr:row>
      <xdr:rowOff>100262</xdr:rowOff>
    </xdr:from>
    <xdr:to>
      <xdr:col>22</xdr:col>
      <xdr:colOff>259447</xdr:colOff>
      <xdr:row>19</xdr:row>
      <xdr:rowOff>10026</xdr:rowOff>
    </xdr:to>
    <xdr:grpSp>
      <xdr:nvGrpSpPr>
        <xdr:cNvPr id="4" name="3 Grupo">
          <a:extLst>
            <a:ext uri="{FF2B5EF4-FFF2-40B4-BE49-F238E27FC236}">
              <a16:creationId xmlns:a16="http://schemas.microsoft.com/office/drawing/2014/main" id="{00000000-0008-0000-0300-000004000000}"/>
            </a:ext>
          </a:extLst>
        </xdr:cNvPr>
        <xdr:cNvGrpSpPr/>
      </xdr:nvGrpSpPr>
      <xdr:grpSpPr>
        <a:xfrm>
          <a:off x="3769133" y="100262"/>
          <a:ext cx="13187928" cy="5509309"/>
          <a:chOff x="3637757" y="100262"/>
          <a:chExt cx="12440397" cy="5955633"/>
        </a:xfrm>
      </xdr:grpSpPr>
      <mc:AlternateContent xmlns:mc="http://schemas.openxmlformats.org/markup-compatibility/2006" xmlns:a14="http://schemas.microsoft.com/office/drawing/2010/main">
        <mc:Choice Requires="a14">
          <xdr:sp macro="" textlink="">
            <xdr:nvSpPr>
              <xdr:cNvPr id="27649" name="ComboBox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3637757" y="875111"/>
                <a:ext cx="2937715" cy="280928"/>
              </a:xfrm>
              <a:prstGeom prst="rect">
                <a:avLst/>
              </a:prstGeom>
              <a:noFill/>
              <a:ln>
                <a:noFill/>
              </a:ln>
              <a:extLst>
                <a:ext uri="{91240B29-F687-4F45-9708-019B960494DF}">
                  <a14:hiddenLine w="9525">
                    <a:noFill/>
                    <a:miter lim="800000"/>
                    <a:headEnd/>
                    <a:tailEnd/>
                  </a14:hiddenLine>
                </a:ext>
              </a:extLst>
            </xdr:spPr>
          </xdr:sp>
        </mc:Choice>
        <mc:Fallback xmlns=""/>
      </mc:AlternateContent>
      <xdr:grpSp>
        <xdr:nvGrpSpPr>
          <xdr:cNvPr id="6" name="6 Grupo">
            <a:extLst>
              <a:ext uri="{FF2B5EF4-FFF2-40B4-BE49-F238E27FC236}">
                <a16:creationId xmlns:a16="http://schemas.microsoft.com/office/drawing/2014/main" id="{00000000-0008-0000-0300-000006000000}"/>
              </a:ext>
            </a:extLst>
          </xdr:cNvPr>
          <xdr:cNvGrpSpPr/>
        </xdr:nvGrpSpPr>
        <xdr:grpSpPr>
          <a:xfrm>
            <a:off x="13080286" y="100262"/>
            <a:ext cx="2997868" cy="5955633"/>
            <a:chOff x="13080286" y="100262"/>
            <a:chExt cx="2997868" cy="5955633"/>
          </a:xfrm>
        </xdr:grpSpPr>
        <xdr:sp macro="" textlink="">
          <xdr:nvSpPr>
            <xdr:cNvPr id="7" name="4 Rectángulo">
              <a:extLst>
                <a:ext uri="{FF2B5EF4-FFF2-40B4-BE49-F238E27FC236}">
                  <a16:creationId xmlns:a16="http://schemas.microsoft.com/office/drawing/2014/main" id="{00000000-0008-0000-0300-000007000000}"/>
                </a:ext>
              </a:extLst>
            </xdr:cNvPr>
            <xdr:cNvSpPr/>
          </xdr:nvSpPr>
          <xdr:spPr>
            <a:xfrm>
              <a:off x="13080286" y="100262"/>
              <a:ext cx="2997868" cy="5955633"/>
            </a:xfrm>
            <a:prstGeom prst="rect">
              <a:avLst/>
            </a:prstGeom>
            <a:solidFill>
              <a:schemeClr val="accent3">
                <a:lumMod val="40000"/>
                <a:lumOff val="60000"/>
              </a:schemeClr>
            </a:solidFill>
            <a:ln>
              <a:solidFill>
                <a:schemeClr val="tx2">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CO" sz="1100"/>
            </a:p>
          </xdr:txBody>
        </xdr:sp>
        <xdr:sp macro="" textlink="">
          <xdr:nvSpPr>
            <xdr:cNvPr id="8" name="5 CuadroTexto">
              <a:extLst>
                <a:ext uri="{FF2B5EF4-FFF2-40B4-BE49-F238E27FC236}">
                  <a16:creationId xmlns:a16="http://schemas.microsoft.com/office/drawing/2014/main" id="{00000000-0008-0000-0300-000008000000}"/>
                </a:ext>
              </a:extLst>
            </xdr:cNvPr>
            <xdr:cNvSpPr txBox="1"/>
          </xdr:nvSpPr>
          <xdr:spPr>
            <a:xfrm>
              <a:off x="13108863" y="139367"/>
              <a:ext cx="2959266" cy="742949"/>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solidFill>
                    <a:srgbClr val="FF0000"/>
                  </a:solidFill>
                  <a:latin typeface="Arial" pitchFamily="34" charset="0"/>
                  <a:cs typeface="Arial" pitchFamily="34" charset="0"/>
                </a:rPr>
                <a:t>MENU DE OPCIONES EVALUACION</a:t>
              </a:r>
            </a:p>
          </xdr:txBody>
        </xdr:sp>
        <mc:AlternateContent xmlns:mc="http://schemas.openxmlformats.org/markup-compatibility/2006">
          <mc:Choice xmlns:a14="http://schemas.microsoft.com/office/drawing/2010/main" Requires="a14">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13653267" y="5492917"/>
                  <a:ext cx="1999247" cy="352425"/>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800000"/>
                      </a:solidFill>
                      <a:latin typeface="Arial"/>
                      <a:cs typeface="Arial"/>
                    </a:rPr>
                    <a:t>SALIR (6)</a:t>
                  </a:r>
                </a:p>
              </xdr:txBody>
            </xdr:sp>
          </mc:Choice>
          <mc:Fallback/>
        </mc:AlternateContent>
        <mc:AlternateContent xmlns:mc="http://schemas.openxmlformats.org/markup-compatibility/2006">
          <mc:Choice xmlns:a14="http://schemas.microsoft.com/office/drawing/2010/main" Requires="a14">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300-0000036C0000}"/>
                    </a:ext>
                  </a:extLst>
                </xdr:cNvPr>
                <xdr:cNvSpPr/>
              </xdr:nvSpPr>
              <xdr:spPr bwMode="auto">
                <a:xfrm>
                  <a:off x="13633723" y="3301213"/>
                  <a:ext cx="1998736" cy="377317"/>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003300"/>
                      </a:solidFill>
                      <a:latin typeface="Arial"/>
                      <a:cs typeface="Arial"/>
                    </a:rPr>
                    <a:t>REPORTE (4)</a:t>
                  </a:r>
                </a:p>
              </xdr:txBody>
            </xdr:sp>
          </mc:Choice>
          <mc:Fallback/>
        </mc:AlternateContent>
        <mc:AlternateContent xmlns:mc="http://schemas.openxmlformats.org/markup-compatibility/2006" xmlns:a14="http://schemas.microsoft.com/office/drawing/2010/main">
          <mc:Choice Requires="a14">
            <xdr:sp macro="" textlink="">
              <xdr:nvSpPr>
                <xdr:cNvPr id="27652" name="ComboBox2"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13519177" y="1561672"/>
                  <a:ext cx="2275974" cy="322635"/>
                </a:xfrm>
                <a:prstGeom prst="rect">
                  <a:avLst/>
                </a:prstGeom>
                <a:noFill/>
                <a:ln>
                  <a:noFill/>
                </a:ln>
                <a:extLst>
                  <a:ext uri="{91240B29-F687-4F45-9708-019B960494DF}">
                    <a14:hiddenLine w="9525">
                      <a:noFill/>
                      <a:miter lim="800000"/>
                      <a:headEnd/>
                      <a:tailEnd/>
                    </a14:hiddenLine>
                  </a:ext>
                </a:extLst>
              </xdr:spPr>
            </xdr:sp>
          </mc:Choice>
          <mc:Fallback xmlns=""/>
        </mc:AlternateContent>
        <mc:AlternateContent xmlns:mc="http://schemas.openxmlformats.org/markup-compatibility/2006">
          <mc:Choice xmlns:a14="http://schemas.microsoft.com/office/drawing/2010/main" Requires="a14">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300-0000056C0000}"/>
                    </a:ext>
                  </a:extLst>
                </xdr:cNvPr>
                <xdr:cNvSpPr/>
              </xdr:nvSpPr>
              <xdr:spPr bwMode="auto">
                <a:xfrm>
                  <a:off x="13624194" y="2174261"/>
                  <a:ext cx="2018687" cy="412463"/>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0000FF"/>
                      </a:solidFill>
                      <a:latin typeface="Arial"/>
                      <a:cs typeface="Arial"/>
                    </a:rPr>
                    <a:t>GENERAR (2)</a:t>
                  </a:r>
                </a:p>
              </xdr:txBody>
            </xdr:sp>
          </mc:Choice>
          <mc:Fallback/>
        </mc:AlternateContent>
        <mc:AlternateContent xmlns:mc="http://schemas.openxmlformats.org/markup-compatibility/2006">
          <mc:Choice xmlns:a14="http://schemas.microsoft.com/office/drawing/2010/main" Requires="a14">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300-0000066C0000}"/>
                    </a:ext>
                  </a:extLst>
                </xdr:cNvPr>
                <xdr:cNvSpPr/>
              </xdr:nvSpPr>
              <xdr:spPr bwMode="auto">
                <a:xfrm>
                  <a:off x="13643243" y="2729037"/>
                  <a:ext cx="1999247" cy="377317"/>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0000FF"/>
                      </a:solidFill>
                      <a:latin typeface="Arial"/>
                      <a:cs typeface="Arial"/>
                    </a:rPr>
                    <a:t>ACTUALIZAR (3)</a:t>
                  </a:r>
                </a:p>
              </xdr:txBody>
            </xdr:sp>
          </mc:Choice>
          <mc:Fallback/>
        </mc:AlternateContent>
        <xdr:sp macro="" textlink="">
          <xdr:nvSpPr>
            <xdr:cNvPr id="14" name="5 CuadroTexto">
              <a:extLst>
                <a:ext uri="{FF2B5EF4-FFF2-40B4-BE49-F238E27FC236}">
                  <a16:creationId xmlns:a16="http://schemas.microsoft.com/office/drawing/2014/main" id="{00000000-0008-0000-0300-00000E000000}"/>
                </a:ext>
              </a:extLst>
            </xdr:cNvPr>
            <xdr:cNvSpPr txBox="1"/>
          </xdr:nvSpPr>
          <xdr:spPr>
            <a:xfrm>
              <a:off x="13401033" y="923426"/>
              <a:ext cx="2214641" cy="643523"/>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300" b="1">
                  <a:ln>
                    <a:noFill/>
                  </a:ln>
                  <a:solidFill>
                    <a:srgbClr val="FF0000"/>
                  </a:solidFill>
                  <a:latin typeface="Arial" pitchFamily="34" charset="0"/>
                  <a:cs typeface="Arial" pitchFamily="34" charset="0"/>
                </a:rPr>
                <a:t>Seleccione el tipo de formato a evaluar :</a:t>
              </a:r>
            </a:p>
          </xdr:txBody>
        </xdr:sp>
        <mc:AlternateContent xmlns:mc="http://schemas.openxmlformats.org/markup-compatibility/2006">
          <mc:Choice xmlns:a14="http://schemas.microsoft.com/office/drawing/2010/main" Requires="a14">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300-0000076C0000}"/>
                    </a:ext>
                  </a:extLst>
                </xdr:cNvPr>
                <xdr:cNvSpPr/>
              </xdr:nvSpPr>
              <xdr:spPr bwMode="auto">
                <a:xfrm>
                  <a:off x="13643747" y="3848057"/>
                  <a:ext cx="1998736" cy="352425"/>
                </a:xfrm>
                <a:prstGeom prst="rect">
                  <a:avLst/>
                </a:prstGeom>
                <a:noFill/>
                <a:ln w="9525">
                  <a:miter lim="800000"/>
                  <a:headEnd/>
                  <a:tailEnd/>
                </a:ln>
              </xdr:spPr>
              <xdr:txBody>
                <a:bodyPr vertOverflow="clip" wrap="square" lIns="36576" tIns="27432" rIns="36576" bIns="27432" anchor="ctr" upright="1"/>
                <a:lstStyle/>
                <a:p>
                  <a:pPr algn="ctr" rtl="0">
                    <a:defRPr sz="1000"/>
                  </a:pPr>
                  <a:r>
                    <a:rPr lang="es-CO" sz="1400" b="1" i="0" u="none" strike="noStrike" baseline="0">
                      <a:solidFill>
                        <a:srgbClr val="FF0000"/>
                      </a:solidFill>
                      <a:latin typeface="Arial"/>
                      <a:cs typeface="Arial"/>
                    </a:rPr>
                    <a:t>GUARDAR (5)</a:t>
                  </a:r>
                </a:p>
              </xdr:txBody>
            </xdr:sp>
          </mc:Choice>
          <mc:Fallback/>
        </mc:AlternateContent>
      </xdr:grpSp>
    </xdr:grpSp>
    <xdr:clientData fPrintsWithSheet="0"/>
  </xdr:twoCellAnchor>
  <xdr:twoCellAnchor>
    <xdr:from>
      <xdr:col>5</xdr:col>
      <xdr:colOff>30079</xdr:colOff>
      <xdr:row>72</xdr:row>
      <xdr:rowOff>110290</xdr:rowOff>
    </xdr:from>
    <xdr:to>
      <xdr:col>12</xdr:col>
      <xdr:colOff>1544052</xdr:colOff>
      <xdr:row>89</xdr:row>
      <xdr:rowOff>180473</xdr:rowOff>
    </xdr:to>
    <xdr:graphicFrame macro="">
      <xdr:nvGraphicFramePr>
        <xdr:cNvPr id="16" name="Chart 1">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679379</xdr:colOff>
      <xdr:row>112</xdr:row>
      <xdr:rowOff>561466</xdr:rowOff>
    </xdr:from>
    <xdr:to>
      <xdr:col>12</xdr:col>
      <xdr:colOff>1262204</xdr:colOff>
      <xdr:row>112</xdr:row>
      <xdr:rowOff>561466</xdr:rowOff>
    </xdr:to>
    <xdr:grpSp>
      <xdr:nvGrpSpPr>
        <xdr:cNvPr id="17" name="Grupo 16">
          <a:extLst>
            <a:ext uri="{FF2B5EF4-FFF2-40B4-BE49-F238E27FC236}">
              <a16:creationId xmlns:a16="http://schemas.microsoft.com/office/drawing/2014/main" id="{00000000-0008-0000-0300-000011000000}"/>
            </a:ext>
          </a:extLst>
        </xdr:cNvPr>
        <xdr:cNvGrpSpPr/>
      </xdr:nvGrpSpPr>
      <xdr:grpSpPr>
        <a:xfrm>
          <a:off x="794834" y="43611580"/>
          <a:ext cx="12229302" cy="0"/>
          <a:chOff x="799695" y="38831913"/>
          <a:chExt cx="12263483" cy="0"/>
        </a:xfrm>
      </xdr:grpSpPr>
      <xdr:cxnSp macro="">
        <xdr:nvCxnSpPr>
          <xdr:cNvPr id="18" name="Conector recto 17">
            <a:extLst>
              <a:ext uri="{FF2B5EF4-FFF2-40B4-BE49-F238E27FC236}">
                <a16:creationId xmlns:a16="http://schemas.microsoft.com/office/drawing/2014/main" id="{00000000-0008-0000-0300-000012000000}"/>
              </a:ext>
            </a:extLst>
          </xdr:cNvPr>
          <xdr:cNvCxnSpPr/>
        </xdr:nvCxnSpPr>
        <xdr:spPr>
          <a:xfrm>
            <a:off x="799695" y="38831913"/>
            <a:ext cx="3223746"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9" name="Conector recto 18">
            <a:extLst>
              <a:ext uri="{FF2B5EF4-FFF2-40B4-BE49-F238E27FC236}">
                <a16:creationId xmlns:a16="http://schemas.microsoft.com/office/drawing/2014/main" id="{00000000-0008-0000-0300-000013000000}"/>
              </a:ext>
            </a:extLst>
          </xdr:cNvPr>
          <xdr:cNvCxnSpPr/>
        </xdr:nvCxnSpPr>
        <xdr:spPr>
          <a:xfrm>
            <a:off x="5720682" y="38831913"/>
            <a:ext cx="3223746"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0" name="Conector recto 19">
            <a:extLst>
              <a:ext uri="{FF2B5EF4-FFF2-40B4-BE49-F238E27FC236}">
                <a16:creationId xmlns:a16="http://schemas.microsoft.com/office/drawing/2014/main" id="{00000000-0008-0000-0300-000014000000}"/>
              </a:ext>
            </a:extLst>
          </xdr:cNvPr>
          <xdr:cNvCxnSpPr/>
        </xdr:nvCxnSpPr>
        <xdr:spPr>
          <a:xfrm>
            <a:off x="9839432" y="38831913"/>
            <a:ext cx="3223746"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3</xdr:col>
      <xdr:colOff>47625</xdr:colOff>
      <xdr:row>4</xdr:row>
      <xdr:rowOff>38100</xdr:rowOff>
    </xdr:from>
    <xdr:to>
      <xdr:col>8</xdr:col>
      <xdr:colOff>809625</xdr:colOff>
      <xdr:row>6</xdr:row>
      <xdr:rowOff>0</xdr:rowOff>
    </xdr:to>
    <xdr:pic>
      <xdr:nvPicPr>
        <xdr:cNvPr id="5" name="ComboBox1">
          <a:extLst>
            <a:ext uri="{FF2B5EF4-FFF2-40B4-BE49-F238E27FC236}">
              <a16:creationId xmlns:a16="http://schemas.microsoft.com/office/drawing/2014/main" id="{00000000-0008-0000-0300-000005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52850" y="809625"/>
          <a:ext cx="2867025"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absolute">
    <xdr:from>
      <xdr:col>14</xdr:col>
      <xdr:colOff>523875</xdr:colOff>
      <xdr:row>6</xdr:row>
      <xdr:rowOff>285750</xdr:rowOff>
    </xdr:from>
    <xdr:to>
      <xdr:col>21</xdr:col>
      <xdr:colOff>561975</xdr:colOff>
      <xdr:row>8</xdr:row>
      <xdr:rowOff>161925</xdr:rowOff>
    </xdr:to>
    <xdr:pic>
      <xdr:nvPicPr>
        <xdr:cNvPr id="9" name="ComboBox2">
          <a:extLst>
            <a:ext uri="{FF2B5EF4-FFF2-40B4-BE49-F238E27FC236}">
              <a16:creationId xmlns:a16="http://schemas.microsoft.com/office/drawing/2014/main" id="{00000000-0008-0000-0300-000009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068425" y="1362075"/>
          <a:ext cx="24003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HUMANOS\Desktop\TALENTO%20HUMANO\EVALUACIONES\EVALAUCION%20DE%20DESEMPE&#209;O\EVALUACION%20DESEMPE&#209;0%202019\FR-088%20Formato%20Evaluaci&#243;n%20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HUMANOS\Desktop\TALENTO%20HUMANO\EVALUACIONES\EVALAUCION%20DE%20DESEMPE&#209;O\EVALUACION%20DESEMPE&#209;O%202020\FR-088%20Formato%20Instrumento%20de%20Evaluaci&#243;n%20de%20Desempe&#241;o%20V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orsalud\Downloads\CAMPEONATO%20FUTBOL%20INTERNO%20GECELCA%20ESP.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R.HUMANOS\Downloads\FR-088%20Formato%20Evaluaci&#243;n%20V2019%20-%20copia%20(ok2)%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PRINCIPAL"/>
      <sheetName val="EVALUACION DESEMPEÑO"/>
      <sheetName val="REGISTROS"/>
      <sheetName val="BDATOS"/>
      <sheetName val="PREGUNTAS"/>
      <sheetName val="Hoja1"/>
    </sheetNames>
    <sheetDataSet>
      <sheetData sheetId="0"/>
      <sheetData sheetId="1"/>
      <sheetData sheetId="2"/>
      <sheetData sheetId="3">
        <row r="1">
          <cell r="F1">
            <v>0</v>
          </cell>
        </row>
        <row r="2">
          <cell r="F2">
            <v>20</v>
          </cell>
        </row>
        <row r="3">
          <cell r="F3">
            <v>40</v>
          </cell>
        </row>
        <row r="4">
          <cell r="F4">
            <v>60</v>
          </cell>
        </row>
        <row r="5">
          <cell r="F5">
            <v>80</v>
          </cell>
        </row>
        <row r="6">
          <cell r="F6">
            <v>100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VO"/>
      <sheetName val="MENU PRINCIPAL"/>
      <sheetName val="EVALUACION DESEMPEÑO"/>
      <sheetName val="REGISTROS"/>
      <sheetName val="BDATOS"/>
      <sheetName val="FR-088 Formato Instrumento de E"/>
    </sheetNames>
    <definedNames>
      <definedName name="GENERAR"/>
      <definedName name="GUARDAR"/>
      <definedName name="Hoja10.guardaregP"/>
      <definedName name="Hoja10.subir"/>
      <definedName name="Módulo1.REPORTE"/>
      <definedName name="SALIDA"/>
    </definedNames>
    <sheetDataSet>
      <sheetData sheetId="0" refreshError="1"/>
      <sheetData sheetId="1" refreshError="1"/>
      <sheetData sheetId="2"/>
      <sheetData sheetId="3">
        <row r="4">
          <cell r="B4" t="str">
            <v>EMPLEADO</v>
          </cell>
        </row>
      </sheetData>
      <sheetData sheetId="4">
        <row r="9">
          <cell r="G9">
            <v>20</v>
          </cell>
        </row>
        <row r="10">
          <cell r="G10">
            <v>40</v>
          </cell>
        </row>
        <row r="11">
          <cell r="G11">
            <v>60</v>
          </cell>
        </row>
        <row r="12">
          <cell r="G12">
            <v>80</v>
          </cell>
        </row>
        <row r="13">
          <cell r="G13">
            <v>100</v>
          </cell>
        </row>
      </sheetData>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PRINCIPAL"/>
      <sheetName val="DATOS"/>
      <sheetName val="Listado"/>
      <sheetName val="REPORTES"/>
      <sheetName val="POSICIONES"/>
      <sheetName val="FAIR PLAY"/>
      <sheetName val="PLANILLA"/>
      <sheetName val="TABLAS"/>
      <sheetName val="RESUMENXE"/>
      <sheetName val="POSICIONES (2)"/>
      <sheetName val="CAMPEONATO FUTBOL INTERNO GECEL"/>
    </sheetNames>
    <definedNames>
      <definedName name="LISTADO"/>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PRINCIPAL"/>
      <sheetName val="EVALUACION DESEMPEÑO"/>
      <sheetName val="REGISTROS"/>
      <sheetName val="BDATOS"/>
      <sheetName val="PREGUNTAS"/>
      <sheetName val="PREGUNTAS nuevas"/>
    </sheetNames>
    <sheetDataSet>
      <sheetData sheetId="0" refreshError="1"/>
      <sheetData sheetId="1" refreshError="1"/>
      <sheetData sheetId="2" refreshError="1"/>
      <sheetData sheetId="3">
        <row r="2">
          <cell r="A2" t="str">
            <v>ACOSTA OCHOA SANDRA</v>
          </cell>
          <cell r="B2" t="str">
            <v>COORDINADORA DESARROLLO HUMANO</v>
          </cell>
          <cell r="C2" t="str">
            <v>GESTION DE BIENESTAR UNIVERSITARIO</v>
          </cell>
          <cell r="D2" t="str">
            <v>MARTHA GOMEZ LIMA</v>
          </cell>
          <cell r="E2">
            <v>43425</v>
          </cell>
          <cell r="F2" t="str">
            <v>ACOSTA OCHOA SANDRA</v>
          </cell>
        </row>
        <row r="3">
          <cell r="A3" t="str">
            <v>BLANCO VARGAS ELIAS ANTONIO</v>
          </cell>
          <cell r="B3" t="str">
            <v>DIRECTOR DE SISTEMAS</v>
          </cell>
          <cell r="C3" t="str">
            <v>GESTION DE RECURSOS ACADEMICOS INFRAESTRUCTURA Y CAMPUS</v>
          </cell>
          <cell r="D3" t="str">
            <v>LUZ STELLA GOMEZ LIMA</v>
          </cell>
          <cell r="E3">
            <v>43425</v>
          </cell>
          <cell r="F3" t="str">
            <v>BLANCO VARGAS ELIAS ANTONIO</v>
          </cell>
        </row>
        <row r="4">
          <cell r="A4" t="str">
            <v>BOZZI BUSTILLO ANTONIO</v>
          </cell>
          <cell r="B4" t="str">
            <v>DIRECTOR CENTRO DE IDIOMAS</v>
          </cell>
          <cell r="C4" t="str">
            <v>DOCENCIA</v>
          </cell>
          <cell r="D4" t="str">
            <v>LUZ STELLA GOMEZ LIMA</v>
          </cell>
          <cell r="E4">
            <v>43425</v>
          </cell>
          <cell r="F4" t="str">
            <v>BOZZI BUSTILLO ANTONIO</v>
          </cell>
        </row>
        <row r="5">
          <cell r="A5" t="str">
            <v>BUELVAS SALGADO CAROLAIN</v>
          </cell>
          <cell r="B5" t="str">
            <v>SECRETARIA ADMINISTRATIVA</v>
          </cell>
          <cell r="C5" t="str">
            <v>DESARROLLO ORGANIZACIONAL</v>
          </cell>
          <cell r="D5" t="str">
            <v>SHIRLEY CERVANTES DIAZ</v>
          </cell>
          <cell r="E5">
            <v>43425</v>
          </cell>
          <cell r="F5" t="str">
            <v>BUELVAS SALGADO CAROLAIN</v>
          </cell>
        </row>
        <row r="6">
          <cell r="A6" t="str">
            <v>BUELVAS SALGADO CAROLAIN (2)</v>
          </cell>
          <cell r="B6" t="str">
            <v>SECRETARIA ADMINISTRATIVA</v>
          </cell>
          <cell r="C6" t="str">
            <v>GESTION DE RECURSOS ACADEMICOS INFRAESTRUCTURA Y CAMPUS</v>
          </cell>
          <cell r="D6" t="str">
            <v>ANTONO BOSSI</v>
          </cell>
          <cell r="E6">
            <v>43425</v>
          </cell>
          <cell r="F6" t="str">
            <v>BUELVAS SALGADO CAROLAIN (2)</v>
          </cell>
        </row>
        <row r="7">
          <cell r="A7" t="str">
            <v>CAMPO MERCADO  ERWIN</v>
          </cell>
          <cell r="B7" t="str">
            <v xml:space="preserve">DIRECTOR PROGRAMA DE RADIOLOGIA </v>
          </cell>
          <cell r="C7" t="str">
            <v>DOCENCIA</v>
          </cell>
          <cell r="D7" t="str">
            <v>LILIANA MARTINEZ VARGAS</v>
          </cell>
          <cell r="E7">
            <v>43425</v>
          </cell>
          <cell r="F7" t="str">
            <v>CAMPO MERCADO  ERWIN</v>
          </cell>
        </row>
        <row r="8">
          <cell r="A8" t="str">
            <v>CARDONA CUNHA GLENDA</v>
          </cell>
          <cell r="B8" t="str">
            <v>ASISTENTE ADMISIONES</v>
          </cell>
          <cell r="C8" t="str">
            <v>DESARROLLO ORGANIZACIONAL</v>
          </cell>
          <cell r="D8" t="str">
            <v>JOHANNA PATRICIA SENIOR GONZALEZ</v>
          </cell>
          <cell r="E8">
            <v>43425</v>
          </cell>
          <cell r="F8" t="str">
            <v>CARDONA CUNHA GLENDA</v>
          </cell>
        </row>
        <row r="9">
          <cell r="A9" t="str">
            <v>CASTILLO JIMENEZ  CESAR DARIO</v>
          </cell>
          <cell r="B9" t="str">
            <v>DIRECTOR PORGRAMA CONTADURIA Y FINANZAS INTERNACIONALES</v>
          </cell>
          <cell r="C9" t="str">
            <v>DOCENCIA</v>
          </cell>
          <cell r="D9" t="str">
            <v>LILIANA MARTINEZ VARGAS</v>
          </cell>
          <cell r="E9">
            <v>43425</v>
          </cell>
          <cell r="F9" t="str">
            <v>CASTILLO JIMENEZ  CESAR DARIO</v>
          </cell>
        </row>
        <row r="10">
          <cell r="A10" t="str">
            <v>CERVANTES DIAZ SHIRLEY</v>
          </cell>
          <cell r="B10" t="str">
            <v>DIRECTORA TALENTO HUMANO</v>
          </cell>
          <cell r="C10" t="str">
            <v>DESARROLLO ORGANIZACIONAL</v>
          </cell>
          <cell r="D10" t="str">
            <v>LUZ STELLA GOMEZ LIMA</v>
          </cell>
          <cell r="E10">
            <v>43425</v>
          </cell>
          <cell r="F10" t="str">
            <v>CERVANTES DIAZ SHIRLEY</v>
          </cell>
        </row>
        <row r="11">
          <cell r="A11" t="str">
            <v>CORONEL MARIANO YOLANDA</v>
          </cell>
          <cell r="B11" t="str">
            <v>SECRETARIA BIENESTAR UNIVERSITARIO</v>
          </cell>
          <cell r="C11" t="str">
            <v>DESARROLLO ORGANIZACIONAL</v>
          </cell>
          <cell r="D11" t="str">
            <v>MARTHA GOMEZ LIMA</v>
          </cell>
          <cell r="E11">
            <v>43425</v>
          </cell>
          <cell r="F11" t="str">
            <v>CORONEL MARIANO YOLANDA</v>
          </cell>
        </row>
        <row r="12">
          <cell r="A12" t="str">
            <v>CUETO VALENCIA EDER JOSE</v>
          </cell>
          <cell r="B12" t="str">
            <v>COORDINADOR DEPORTE Y CULTURA</v>
          </cell>
          <cell r="C12" t="str">
            <v>GESTION DE BIENESTAR UNIVERSITARIO</v>
          </cell>
          <cell r="D12" t="str">
            <v>MARTHA GOMEZ LIMA</v>
          </cell>
          <cell r="E12">
            <v>43425</v>
          </cell>
          <cell r="F12" t="str">
            <v>CUETO VALENCIA EDER JOSE</v>
          </cell>
        </row>
        <row r="13">
          <cell r="A13" t="str">
            <v>DIAZ OROZCO OLGA MARCELA</v>
          </cell>
          <cell r="B13" t="str">
            <v>COORDINADORA DEL CITEC</v>
          </cell>
          <cell r="C13" t="str">
            <v>INVESTIGACION</v>
          </cell>
          <cell r="D13" t="str">
            <v>LILIANA MARTINEZ VARGAS</v>
          </cell>
          <cell r="E13">
            <v>43425</v>
          </cell>
          <cell r="F13" t="str">
            <v>DIAZ OROZCO OLGA MARCELA</v>
          </cell>
        </row>
        <row r="14">
          <cell r="A14" t="str">
            <v>DIAZTAGLE OSPINO ANDRES</v>
          </cell>
          <cell r="B14" t="str">
            <v>ASISTENTE GESTION DOCUMENTAL</v>
          </cell>
          <cell r="C14" t="str">
            <v>DESARROLLO ORGANIZACIONAL</v>
          </cell>
          <cell r="D14" t="str">
            <v>JOHANNA PATRICIA SENIOR GONZALEZ</v>
          </cell>
          <cell r="E14">
            <v>43425</v>
          </cell>
          <cell r="F14" t="str">
            <v>DIAZTAGLE OSPINO ANDRES</v>
          </cell>
        </row>
        <row r="15">
          <cell r="A15" t="str">
            <v>GOMEZ LIMA LUZ STELLA</v>
          </cell>
          <cell r="B15" t="str">
            <v>RECTORA</v>
          </cell>
          <cell r="C15" t="str">
            <v>DIRECCIONAMIENTO ESTRATEGIGO</v>
          </cell>
          <cell r="D15" t="str">
            <v>ADOLFO GOMEZ PADILLA</v>
          </cell>
          <cell r="E15">
            <v>43425</v>
          </cell>
          <cell r="F15" t="str">
            <v>GOMEZ LIMA LUZ STELLA</v>
          </cell>
        </row>
        <row r="16">
          <cell r="A16" t="str">
            <v>GOMEZ LIMA MARTHA</v>
          </cell>
          <cell r="B16" t="str">
            <v>DIRECTORA BIENESTAR UNIVERSITARIO</v>
          </cell>
          <cell r="C16" t="str">
            <v>GESTION DE BIENESTAR UNIVERSITARIO</v>
          </cell>
          <cell r="D16" t="str">
            <v>LUZ STELLA GOMEZ LIMA</v>
          </cell>
          <cell r="E16">
            <v>43425</v>
          </cell>
          <cell r="F16" t="str">
            <v>GOMEZ LIMA MARTHA</v>
          </cell>
        </row>
        <row r="17">
          <cell r="A17" t="str">
            <v>GRANADOS MESTRE AIXA</v>
          </cell>
          <cell r="B17" t="str">
            <v>DIRECTORA PLANEACION</v>
          </cell>
          <cell r="C17" t="str">
            <v>PLANEACION</v>
          </cell>
          <cell r="D17" t="str">
            <v>LUZ STELLA GOMEZ LIMA</v>
          </cell>
          <cell r="E17">
            <v>43425</v>
          </cell>
          <cell r="F17" t="str">
            <v>GRANADOS MESTRE AIXA</v>
          </cell>
        </row>
        <row r="18">
          <cell r="A18" t="str">
            <v>GUTIERREZ LEYDIS</v>
          </cell>
          <cell r="B18" t="str">
            <v>SECRETARIA ADMISIONES</v>
          </cell>
          <cell r="C18" t="str">
            <v>DESARROLLO ORGANIZACIONAL</v>
          </cell>
          <cell r="D18" t="str">
            <v>JOHANNA PATRICIA SENIOR GONZALEZ</v>
          </cell>
          <cell r="E18">
            <v>43425</v>
          </cell>
          <cell r="F18" t="str">
            <v>GUTIERREZ LEYDIS</v>
          </cell>
        </row>
        <row r="19">
          <cell r="A19" t="str">
            <v>GUTIERREZ RETAMOSO MAURE</v>
          </cell>
          <cell r="B19" t="str">
            <v>SECRETARIA ADMISIONES</v>
          </cell>
          <cell r="C19" t="str">
            <v>DESARROLLO ORGANIZACIONAL</v>
          </cell>
          <cell r="D19" t="str">
            <v>JOHANNA PATRICIA SENIOR GONZALEZ</v>
          </cell>
          <cell r="E19">
            <v>43425</v>
          </cell>
          <cell r="F19" t="str">
            <v>GUTIERREZ RETAMOSO MAURE</v>
          </cell>
        </row>
        <row r="20">
          <cell r="A20" t="str">
            <v>JANICA FLORES MAYRA PATRICIA</v>
          </cell>
          <cell r="B20" t="str">
            <v>JEFE UNIDAD CONTABLE Y FINANCIERA</v>
          </cell>
          <cell r="C20" t="str">
            <v>GESTION FINANCIERA Y CONTABLE</v>
          </cell>
          <cell r="D20" t="str">
            <v>LUZ STELLA GOMEZ LIMA</v>
          </cell>
          <cell r="E20">
            <v>43425</v>
          </cell>
          <cell r="F20" t="str">
            <v>JANICA FLORES MAYRA PATRICIA</v>
          </cell>
        </row>
        <row r="21">
          <cell r="A21" t="str">
            <v>JANICA FLORES MAYRA PATRICIA (2)</v>
          </cell>
          <cell r="B21" t="str">
            <v>JEFE UNIDAD CONTABLE Y FINANCIERA</v>
          </cell>
          <cell r="C21" t="str">
            <v>DESARROLLO ORGANIZACIONAL</v>
          </cell>
          <cell r="D21" t="str">
            <v>ADOLFO GOMEZ PADILLA</v>
          </cell>
          <cell r="E21">
            <v>43425</v>
          </cell>
          <cell r="F21" t="str">
            <v>JANICA FLORES MAYRA PATRICIA (2)</v>
          </cell>
        </row>
        <row r="22">
          <cell r="A22" t="str">
            <v>LORA SERRANO DANIELA</v>
          </cell>
          <cell r="B22" t="str">
            <v>COORDINADORA DE SGI</v>
          </cell>
          <cell r="C22" t="str">
            <v>SISTEMA DE GESTION INTEGRAL</v>
          </cell>
          <cell r="D22" t="str">
            <v>LUZ STELLA GOMEZ LIMA</v>
          </cell>
          <cell r="E22">
            <v>43425</v>
          </cell>
          <cell r="F22" t="str">
            <v>LORA SERRANO DANIELA</v>
          </cell>
        </row>
        <row r="23">
          <cell r="A23" t="str">
            <v>MACKENZIE GUTIERREZ ENOVALDO</v>
          </cell>
          <cell r="B23" t="str">
            <v>SERVICIOS GENERALES</v>
          </cell>
          <cell r="C23" t="str">
            <v>GESTION DE RECURSOS ACADEMICOS INFRAESTRUCTURA Y CAMPUS</v>
          </cell>
          <cell r="D23" t="str">
            <v>ALFONSO SANTIAGO GUTIERREZ</v>
          </cell>
          <cell r="E23">
            <v>43425</v>
          </cell>
          <cell r="F23" t="str">
            <v>MACKENZIE GUTIERREZ ENOVALDO</v>
          </cell>
        </row>
        <row r="24">
          <cell r="A24" t="str">
            <v>MARTINEZ VARGAS LILIANA</v>
          </cell>
          <cell r="B24" t="str">
            <v>VICERECTORA ACADEMICA</v>
          </cell>
          <cell r="C24" t="str">
            <v>DOCENCIA</v>
          </cell>
          <cell r="D24" t="str">
            <v>LUZ STELLA GOMEZ LIMA</v>
          </cell>
          <cell r="E24">
            <v>43425</v>
          </cell>
          <cell r="F24" t="str">
            <v>MARTINEZ VARGAS LILIANA</v>
          </cell>
        </row>
        <row r="25">
          <cell r="A25" t="str">
            <v>MATEUS CABRERA FRANCISCO</v>
          </cell>
          <cell r="B25" t="str">
            <v>SERVICIOS GENERALES</v>
          </cell>
          <cell r="C25" t="str">
            <v>GESTION DE RECURSOS ACADEMICOS INFRAESTRUCTURA Y CAMPUS</v>
          </cell>
          <cell r="D25" t="str">
            <v>ALFONSO SANTIAGO GUTIERREZ</v>
          </cell>
          <cell r="E25">
            <v>43425</v>
          </cell>
          <cell r="F25" t="str">
            <v>MATEUS CABRERA FRANCISCO</v>
          </cell>
        </row>
        <row r="26">
          <cell r="A26" t="str">
            <v>MENCO ARRIETA KARINA</v>
          </cell>
          <cell r="B26" t="str">
            <v>ASISTENTE RECTORIA PRESIDENCIA</v>
          </cell>
          <cell r="C26" t="str">
            <v>DESARROLLO ORGANIZACIONAL</v>
          </cell>
          <cell r="D26" t="str">
            <v>ADOLFO GOMEZ PADILLA</v>
          </cell>
          <cell r="E26">
            <v>43425</v>
          </cell>
          <cell r="F26" t="str">
            <v>MENCO ARRIETA KARINA</v>
          </cell>
        </row>
        <row r="27">
          <cell r="A27" t="str">
            <v>MERCADO MARTINEZ MANUEL</v>
          </cell>
          <cell r="B27" t="str">
            <v>AUXILIAR BIBLIOTECA</v>
          </cell>
          <cell r="C27" t="str">
            <v>GESTION DE RECURSOS ACADEMICOS INFRAESTRUCTURA Y CAMPUS</v>
          </cell>
          <cell r="D27" t="str">
            <v>LUIS REYES SIERRA</v>
          </cell>
          <cell r="E27">
            <v>43425</v>
          </cell>
          <cell r="F27" t="str">
            <v>MERCADO MARTINEZ MANUEL</v>
          </cell>
        </row>
        <row r="28">
          <cell r="A28" t="str">
            <v>MONTAÑO MONTAÑO NADIA</v>
          </cell>
          <cell r="B28" t="str">
            <v xml:space="preserve">DIRECTORA PROGRAMA DE  ESPECIALIZACION </v>
          </cell>
          <cell r="C28" t="str">
            <v>DOCENCIA</v>
          </cell>
          <cell r="D28" t="str">
            <v>LILIANA MARTINEZ VARGAS</v>
          </cell>
          <cell r="E28">
            <v>43425</v>
          </cell>
          <cell r="F28" t="str">
            <v>MONTAÑO MONTAÑO NADIA</v>
          </cell>
        </row>
        <row r="29">
          <cell r="A29" t="str">
            <v>MUNARRIZ MENDOZA ANDREA</v>
          </cell>
          <cell r="B29" t="str">
            <v>DIRECTORA CEEP</v>
          </cell>
          <cell r="C29" t="str">
            <v>PROYECCION Y EXTENSION</v>
          </cell>
          <cell r="D29" t="str">
            <v>LUZ STELLA GOMEZ LIMA</v>
          </cell>
          <cell r="E29">
            <v>43425</v>
          </cell>
          <cell r="F29" t="str">
            <v>MUNARRIZ MENDOZA ANDREA</v>
          </cell>
        </row>
        <row r="30">
          <cell r="A30" t="str">
            <v>PACHECO DIAZ KEVIN</v>
          </cell>
          <cell r="B30" t="str">
            <v>MENSAJERO</v>
          </cell>
          <cell r="C30" t="str">
            <v>GESTION DE BIENESTAR UNIVERSITARIO</v>
          </cell>
          <cell r="D30" t="str">
            <v>ALFONSO SANTIAGO GUTIERREZ</v>
          </cell>
          <cell r="E30">
            <v>43425</v>
          </cell>
          <cell r="F30" t="str">
            <v>PACHECO DIAZ KEVIN</v>
          </cell>
        </row>
        <row r="31">
          <cell r="A31" t="str">
            <v>PACHECO MOLINA ANTONIO JOSE</v>
          </cell>
          <cell r="B31" t="str">
            <v>DIRECTOR PROGRAMA SST</v>
          </cell>
          <cell r="C31" t="str">
            <v>DOCENCIA</v>
          </cell>
          <cell r="D31" t="str">
            <v>LILIANA MARTINEZ VARGAS</v>
          </cell>
          <cell r="E31">
            <v>43425</v>
          </cell>
          <cell r="F31" t="str">
            <v>PACHECO MOLINA ANTONIO JOSE</v>
          </cell>
        </row>
        <row r="32">
          <cell r="A32" t="str">
            <v>PADRON MONTES KARIN</v>
          </cell>
          <cell r="B32" t="str">
            <v>TESORERA</v>
          </cell>
          <cell r="C32" t="str">
            <v>GESTION FINANCIERA Y CONTABLE</v>
          </cell>
          <cell r="D32" t="str">
            <v>MAYRA JANICA FLORES</v>
          </cell>
          <cell r="E32">
            <v>43425</v>
          </cell>
          <cell r="F32" t="str">
            <v>PADRON MONTES KARIN</v>
          </cell>
        </row>
        <row r="33">
          <cell r="A33" t="str">
            <v>PADRON MONTES KARIN (2)</v>
          </cell>
          <cell r="B33" t="str">
            <v>TESORERA</v>
          </cell>
          <cell r="C33" t="str">
            <v>DESARROLLO ORGANIZACIONAL</v>
          </cell>
          <cell r="D33" t="str">
            <v>ADOLFO GOMEZ PADILLA</v>
          </cell>
          <cell r="E33">
            <v>43425</v>
          </cell>
          <cell r="F33" t="str">
            <v>PADRON MONTES KARIN (2)</v>
          </cell>
        </row>
        <row r="34">
          <cell r="A34" t="str">
            <v>PEREIRA CARRASCAL SADIA</v>
          </cell>
          <cell r="B34" t="str">
            <v>COORDINADORA DE PRACTICAS RADIOLOGIA</v>
          </cell>
          <cell r="C34" t="str">
            <v>DOCENCIA</v>
          </cell>
          <cell r="D34" t="str">
            <v>CAMPO MERCADO  ERWIN</v>
          </cell>
          <cell r="E34">
            <v>43425</v>
          </cell>
          <cell r="F34" t="str">
            <v>PEREIRA CARRASCAL SADIA</v>
          </cell>
        </row>
        <row r="35">
          <cell r="A35" t="str">
            <v>PEREIRA CARRASCAL SADIA (2)</v>
          </cell>
          <cell r="B35" t="str">
            <v>COORDINADORA DE PRACTICAS RADIOLOGIA</v>
          </cell>
          <cell r="C35" t="str">
            <v>DOCENCIA</v>
          </cell>
          <cell r="D35" t="str">
            <v>LILIANA MARTINEZ VARGAS</v>
          </cell>
          <cell r="E35">
            <v>43425</v>
          </cell>
          <cell r="F35" t="str">
            <v>PEREIRA CARRASCAL SADIA (2)</v>
          </cell>
        </row>
        <row r="36">
          <cell r="A36" t="str">
            <v>QUINTERO SIERRA ISAAC</v>
          </cell>
          <cell r="B36" t="str">
            <v>ASISTENTE SISTEMAS</v>
          </cell>
          <cell r="C36" t="str">
            <v>GESTION DE RECURSOS ACADEMICOS INFRAESTRUCTURA Y CAMPUS</v>
          </cell>
          <cell r="D36" t="str">
            <v>BLANCO VARGAS ELIAS ANTONIO</v>
          </cell>
          <cell r="E36">
            <v>43425</v>
          </cell>
          <cell r="F36" t="str">
            <v>QUINTERO SIERRA ISAAC</v>
          </cell>
        </row>
        <row r="37">
          <cell r="A37" t="str">
            <v>QUINTERO SIERRA ISAAC</v>
          </cell>
          <cell r="B37" t="str">
            <v>AUXILIAR DE SISTEMAS</v>
          </cell>
          <cell r="C37" t="str">
            <v>GESTION DE RECURSOS ACADEMICOS INFRAESTRUCTURA Y CAMPUS</v>
          </cell>
          <cell r="D37" t="str">
            <v>BLANCO VARGAS ELIAS ANTONIO</v>
          </cell>
          <cell r="E37">
            <v>43425</v>
          </cell>
          <cell r="F37" t="str">
            <v>QUINTERO SIERRA ISAAC</v>
          </cell>
        </row>
        <row r="38">
          <cell r="A38" t="str">
            <v>REYES SIERRA LUIS ALFREDO</v>
          </cell>
          <cell r="B38" t="str">
            <v>DIRECTOR BIBLIOTECA</v>
          </cell>
          <cell r="C38" t="str">
            <v>GESTION DE RECURSOS ACADEMICOS INFRAESTRUCTURA Y CAMPUS</v>
          </cell>
          <cell r="D38" t="str">
            <v>LILIANA MARTINEZ VARGAS</v>
          </cell>
          <cell r="E38">
            <v>43425</v>
          </cell>
          <cell r="F38" t="str">
            <v>REYES SIERRA LUIS ALFREDO</v>
          </cell>
        </row>
        <row r="39">
          <cell r="A39" t="str">
            <v>ROLOG ROJAS DANIELA</v>
          </cell>
          <cell r="B39" t="str">
            <v>AUXILIAR DE ENFERMERIA</v>
          </cell>
          <cell r="C39" t="str">
            <v>GESTION DE BIENESTAR UNIVERSITARIO</v>
          </cell>
          <cell r="D39" t="str">
            <v>MARTHA GOMEZ LIMA</v>
          </cell>
          <cell r="E39">
            <v>43425</v>
          </cell>
          <cell r="F39" t="str">
            <v>ROLOG ROJAS DANIELA</v>
          </cell>
        </row>
        <row r="40">
          <cell r="A40" t="str">
            <v>SANTIAGO GUTIERREZ ALFONSO</v>
          </cell>
          <cell r="B40" t="str">
            <v>JEFE DE MANTENIMIENTO</v>
          </cell>
          <cell r="C40" t="str">
            <v>GESTION DE RECURSOS ACADEMICOS INFRAESTRUCTURA Y CAMPUS</v>
          </cell>
          <cell r="D40" t="str">
            <v>LUZ STELLA GOMEZ LIMA</v>
          </cell>
          <cell r="E40">
            <v>43425</v>
          </cell>
          <cell r="F40" t="str">
            <v>SANTIAGO GUTIERREZ ALFONSO</v>
          </cell>
        </row>
        <row r="41">
          <cell r="A41" t="str">
            <v>SANTO HERNANDEZ  RAFAEL</v>
          </cell>
          <cell r="B41" t="str">
            <v>SERVICIOS GENERALES</v>
          </cell>
          <cell r="C41" t="str">
            <v>GESTION DE RECURSOS ACADEMICOS INFRAESTRUCTURA Y CAMPUS</v>
          </cell>
          <cell r="D41" t="str">
            <v>MARTHA GOMEZ LIMA</v>
          </cell>
          <cell r="E41">
            <v>43425</v>
          </cell>
          <cell r="F41" t="str">
            <v>SANTO HERNANDEZ  RAFAEL</v>
          </cell>
        </row>
        <row r="42">
          <cell r="A42" t="str">
            <v>SANTOS ZOILA ROSA</v>
          </cell>
          <cell r="B42" t="str">
            <v>SERVICIOS GENERALES</v>
          </cell>
          <cell r="C42" t="str">
            <v>GESTION DE RECURSOS ACADEMICOS INFRAESTRUCTURA Y CAMPUS</v>
          </cell>
          <cell r="D42" t="str">
            <v>ALFONSO SANTIAGO GUTIERREZ</v>
          </cell>
          <cell r="E42">
            <v>43425</v>
          </cell>
          <cell r="F42" t="str">
            <v>SANTOS ZOILA ROSA</v>
          </cell>
        </row>
        <row r="43">
          <cell r="A43" t="str">
            <v>SENIOR GONZALEZ JOHANNA PATRICIA</v>
          </cell>
          <cell r="B43" t="str">
            <v>DIRECTORA ADMISIONES</v>
          </cell>
          <cell r="C43" t="str">
            <v>DOCENCIA</v>
          </cell>
          <cell r="D43" t="str">
            <v>LILIANA MARTINEZ VARGAS</v>
          </cell>
          <cell r="E43">
            <v>43425</v>
          </cell>
          <cell r="F43" t="str">
            <v>SENIOR GONZALEZ JOHANNA PATRICIA</v>
          </cell>
        </row>
        <row r="44">
          <cell r="A44" t="str">
            <v>SENIOR GONZALEZ JOHANNA PATRICIA (2)</v>
          </cell>
          <cell r="B44" t="str">
            <v>SECRETARIA GENERAL</v>
          </cell>
          <cell r="C44" t="str">
            <v>DIRECCIONAMIENTO ESTRATEGIGO</v>
          </cell>
          <cell r="D44" t="str">
            <v>LUZ STELLA GOMEZ LIMA</v>
          </cell>
          <cell r="E44">
            <v>43425</v>
          </cell>
          <cell r="F44" t="str">
            <v>SENIOR GONZALEZ JOHANNA PATRICIA (2)</v>
          </cell>
        </row>
        <row r="45">
          <cell r="A45" t="str">
            <v>SILVERA POLO VIVIANA</v>
          </cell>
          <cell r="B45" t="str">
            <v>SECRETARIA PLANEACION</v>
          </cell>
          <cell r="C45" t="str">
            <v>PLANEACION</v>
          </cell>
          <cell r="D45" t="str">
            <v>GRANADOS MESTRE AIXA</v>
          </cell>
          <cell r="E45">
            <v>43425</v>
          </cell>
          <cell r="F45" t="str">
            <v>SILVERA POLO VIVIANA</v>
          </cell>
        </row>
        <row r="46">
          <cell r="A46" t="str">
            <v>TORRES CHIMA EVELIN</v>
          </cell>
          <cell r="B46" t="str">
            <v>AUXILIAR ENFERMERIA</v>
          </cell>
          <cell r="C46" t="str">
            <v>GESTION DE BIENESTAR UNIVERSITARIO</v>
          </cell>
          <cell r="D46" t="str">
            <v>MARTHA GOMEZ LIMA</v>
          </cell>
          <cell r="E46">
            <v>43425</v>
          </cell>
          <cell r="F46" t="str">
            <v>TORRES CHIMA EVELIN</v>
          </cell>
        </row>
      </sheetData>
      <sheetData sheetId="4" refreshError="1"/>
      <sheetData sheetId="5"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THUMANOS\Desktop\TALENTO%20HUMANO\EVALUACIONES\EVALAUCION%20DE%20DESEMPE&#209;O\EVALUACION%20DESEMPE&#209;O%202020\FR-088%20Formato%20Instrumento%20de%20Evaluaci&#243;n%20de%20Desempe&#241;o%20V2020.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old Polo" refreshedDate="43784.763538541665" createdVersion="1" refreshedVersion="5" recordCount="53" xr:uid="{00000000-000A-0000-FFFF-FFFF00000000}">
  <cacheSource type="worksheet">
    <worksheetSource ref="P14:Q67" sheet="EVALUACION DESEMPEÑO" r:id="rId2"/>
  </cacheSource>
  <cacheFields count="2">
    <cacheField name="COMPETENCIA" numFmtId="0">
      <sharedItems containsBlank="1" count="13">
        <m/>
        <s v="INICIATIVA / PROACTIVIDAD"/>
        <s v="COMPROMISO Y SENTIDO DE PERTENENCIA"/>
        <s v="ORIENTACION AL CLIENTE Y/o USUARIO"/>
        <s v="TRABAJO EN EQUIPO"/>
        <s v="AUTOCONTROL Y TOLERANCIA"/>
        <s v="CAPACIDAD DE COMUNICACIÓN Y MANEJO DE LA INFORMACIÓN"/>
        <s v="DIRECCION Y LIDERAZGO"/>
        <s v="FLEXIBILIDAD / ADAPTABILIDAD"/>
        <s v="CALIDAD EN EL TRABAJO"/>
        <s v="SEGURIDAD Y SALUD EN EL TRABAJO"/>
        <s v="SEGUIMIENTO, MEDICIÓN Y EVALUACIÓN"/>
        <s v="GESTION DE CONOCIMIENTO"/>
      </sharedItems>
    </cacheField>
    <cacheField name="CALIFICACION" numFmtId="0">
      <sharedItems containsString="0" containsBlank="1" containsNumber="1" minValue="0" maxValue="35" count="7">
        <m/>
        <n v="33.333333333333336"/>
        <n v="20"/>
        <n v="26.666666666666668"/>
        <n v="8"/>
        <n v="0"/>
        <n v="3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
  <r>
    <x v="0"/>
    <x v="0"/>
  </r>
  <r>
    <x v="0"/>
    <x v="0"/>
  </r>
  <r>
    <x v="0"/>
    <x v="0"/>
  </r>
  <r>
    <x v="1"/>
    <x v="1"/>
  </r>
  <r>
    <x v="0"/>
    <x v="0"/>
  </r>
  <r>
    <x v="0"/>
    <x v="0"/>
  </r>
  <r>
    <x v="0"/>
    <x v="0"/>
  </r>
  <r>
    <x v="2"/>
    <x v="2"/>
  </r>
  <r>
    <x v="0"/>
    <x v="0"/>
  </r>
  <r>
    <x v="0"/>
    <x v="0"/>
  </r>
  <r>
    <x v="0"/>
    <x v="0"/>
  </r>
  <r>
    <x v="3"/>
    <x v="3"/>
  </r>
  <r>
    <x v="0"/>
    <x v="0"/>
  </r>
  <r>
    <x v="0"/>
    <x v="0"/>
  </r>
  <r>
    <x v="0"/>
    <x v="0"/>
  </r>
  <r>
    <x v="4"/>
    <x v="2"/>
  </r>
  <r>
    <x v="0"/>
    <x v="0"/>
  </r>
  <r>
    <x v="0"/>
    <x v="0"/>
  </r>
  <r>
    <x v="0"/>
    <x v="0"/>
  </r>
  <r>
    <x v="5"/>
    <x v="1"/>
  </r>
  <r>
    <x v="0"/>
    <x v="0"/>
  </r>
  <r>
    <x v="0"/>
    <x v="0"/>
  </r>
  <r>
    <x v="0"/>
    <x v="0"/>
  </r>
  <r>
    <x v="0"/>
    <x v="0"/>
  </r>
  <r>
    <x v="6"/>
    <x v="2"/>
  </r>
  <r>
    <x v="0"/>
    <x v="0"/>
  </r>
  <r>
    <x v="0"/>
    <x v="0"/>
  </r>
  <r>
    <x v="0"/>
    <x v="0"/>
  </r>
  <r>
    <x v="0"/>
    <x v="0"/>
  </r>
  <r>
    <x v="0"/>
    <x v="0"/>
  </r>
  <r>
    <x v="7"/>
    <x v="4"/>
  </r>
  <r>
    <x v="0"/>
    <x v="0"/>
  </r>
  <r>
    <x v="0"/>
    <x v="0"/>
  </r>
  <r>
    <x v="0"/>
    <x v="0"/>
  </r>
  <r>
    <x v="8"/>
    <x v="2"/>
  </r>
  <r>
    <x v="0"/>
    <x v="0"/>
  </r>
  <r>
    <x v="0"/>
    <x v="0"/>
  </r>
  <r>
    <x v="0"/>
    <x v="0"/>
  </r>
  <r>
    <x v="9"/>
    <x v="5"/>
  </r>
  <r>
    <x v="0"/>
    <x v="0"/>
  </r>
  <r>
    <x v="0"/>
    <x v="0"/>
  </r>
  <r>
    <x v="0"/>
    <x v="0"/>
  </r>
  <r>
    <x v="10"/>
    <x v="1"/>
  </r>
  <r>
    <x v="0"/>
    <x v="0"/>
  </r>
  <r>
    <x v="0"/>
    <x v="0"/>
  </r>
  <r>
    <x v="0"/>
    <x v="0"/>
  </r>
  <r>
    <x v="0"/>
    <x v="0"/>
  </r>
  <r>
    <x v="11"/>
    <x v="6"/>
  </r>
  <r>
    <x v="0"/>
    <x v="0"/>
  </r>
  <r>
    <x v="0"/>
    <x v="0"/>
  </r>
  <r>
    <x v="0"/>
    <x v="0"/>
  </r>
  <r>
    <x v="12"/>
    <x v="3"/>
  </r>
  <r>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datos" cacheId="2" dataOnRows="1" applyNumberFormats="0" applyBorderFormats="0" applyFontFormats="0" applyPatternFormats="0" applyAlignmentFormats="0" applyWidthHeightFormats="1" dataCaption="Datos" updatedVersion="5" showItems="0" showMultipleLabel="0" showMemberPropertyTips="0" useAutoFormatting="1" itemPrintTitles="1" showDropZones="0" indent="0" compact="0" compactData="0" gridDropZones="1">
  <location ref="S73:T87" firstHeaderRow="2" firstDataRow="2" firstDataCol="1"/>
  <pivotFields count="2">
    <pivotField axis="axisRow" compact="0" outline="0" subtotalTop="0" showAll="0" includeNewItemsInFilter="1" defaultSubtotal="0">
      <items count="13">
        <item x="5"/>
        <item x="9"/>
        <item x="6"/>
        <item x="2"/>
        <item x="7"/>
        <item x="8"/>
        <item x="12"/>
        <item x="1"/>
        <item x="3"/>
        <item x="11"/>
        <item x="10"/>
        <item x="4"/>
        <item h="1" x="0"/>
      </items>
    </pivotField>
    <pivotField dataField="1" compact="0" outline="0" subtotalTop="0" showAll="0" includeNewItemsInFilter="1" defaultSubtotal="0">
      <items count="7">
        <item x="5"/>
        <item x="4"/>
        <item x="2"/>
        <item x="3"/>
        <item x="1"/>
        <item x="6"/>
        <item x="0"/>
      </items>
    </pivotField>
  </pivotFields>
  <rowFields count="1">
    <field x="0"/>
  </rowFields>
  <rowItems count="13">
    <i>
      <x/>
    </i>
    <i>
      <x v="1"/>
    </i>
    <i>
      <x v="2"/>
    </i>
    <i>
      <x v="3"/>
    </i>
    <i>
      <x v="4"/>
    </i>
    <i>
      <x v="5"/>
    </i>
    <i>
      <x v="6"/>
    </i>
    <i>
      <x v="7"/>
    </i>
    <i>
      <x v="8"/>
    </i>
    <i>
      <x v="9"/>
    </i>
    <i>
      <x v="10"/>
    </i>
    <i>
      <x v="11"/>
    </i>
    <i t="grand">
      <x/>
    </i>
  </rowItems>
  <colItems count="1">
    <i/>
  </colItems>
  <dataFields count="1">
    <dataField name="Suma de CALIFICACION" fld="1" baseField="0" baseItem="0"/>
  </dataFields>
  <formats count="29">
    <format dxfId="28">
      <pivotArea type="origin" dataOnly="0" labelOnly="1" outline="0" fieldPosition="0"/>
    </format>
    <format dxfId="27">
      <pivotArea type="topRight" dataOnly="0" labelOnly="1" outline="0" fieldPosition="0"/>
    </format>
    <format dxfId="26">
      <pivotArea field="0" type="button" dataOnly="0" labelOnly="1" outline="0" axis="axisRow" fieldPosition="0"/>
    </format>
    <format dxfId="25">
      <pivotArea outline="0" fieldPosition="0">
        <references count="1">
          <reference field="0" count="1" selected="0">
            <x v="0"/>
          </reference>
        </references>
      </pivotArea>
    </format>
    <format dxfId="24">
      <pivotArea dataOnly="0" labelOnly="1" outline="0" fieldPosition="0">
        <references count="1">
          <reference field="0" count="1">
            <x v="0"/>
          </reference>
        </references>
      </pivotArea>
    </format>
    <format dxfId="23">
      <pivotArea outline="0" fieldPosition="0">
        <references count="1">
          <reference field="0" count="1" selected="0">
            <x v="1"/>
          </reference>
        </references>
      </pivotArea>
    </format>
    <format dxfId="22">
      <pivotArea dataOnly="0" labelOnly="1" outline="0" fieldPosition="0">
        <references count="1">
          <reference field="0" count="1">
            <x v="1"/>
          </reference>
        </references>
      </pivotArea>
    </format>
    <format dxfId="21">
      <pivotArea outline="0" fieldPosition="0">
        <references count="1">
          <reference field="0" count="1" selected="0">
            <x v="2"/>
          </reference>
        </references>
      </pivotArea>
    </format>
    <format dxfId="20">
      <pivotArea dataOnly="0" labelOnly="1" outline="0" fieldPosition="0">
        <references count="1">
          <reference field="0" count="1">
            <x v="2"/>
          </reference>
        </references>
      </pivotArea>
    </format>
    <format dxfId="19">
      <pivotArea outline="0" fieldPosition="0">
        <references count="1">
          <reference field="0" count="1" selected="0">
            <x v="3"/>
          </reference>
        </references>
      </pivotArea>
    </format>
    <format dxfId="18">
      <pivotArea dataOnly="0" labelOnly="1" outline="0" fieldPosition="0">
        <references count="1">
          <reference field="0" count="1">
            <x v="3"/>
          </reference>
        </references>
      </pivotArea>
    </format>
    <format dxfId="17">
      <pivotArea outline="0" fieldPosition="0">
        <references count="1">
          <reference field="0" count="1" selected="0">
            <x v="4"/>
          </reference>
        </references>
      </pivotArea>
    </format>
    <format dxfId="16">
      <pivotArea dataOnly="0" labelOnly="1" outline="0" fieldPosition="0">
        <references count="1">
          <reference field="0" count="1">
            <x v="4"/>
          </reference>
        </references>
      </pivotArea>
    </format>
    <format dxfId="15">
      <pivotArea outline="0" fieldPosition="0">
        <references count="1">
          <reference field="0" count="1" selected="0">
            <x v="5"/>
          </reference>
        </references>
      </pivotArea>
    </format>
    <format dxfId="14">
      <pivotArea dataOnly="0" labelOnly="1" outline="0" fieldPosition="0">
        <references count="1">
          <reference field="0" count="1">
            <x v="5"/>
          </reference>
        </references>
      </pivotArea>
    </format>
    <format dxfId="13">
      <pivotArea outline="0" fieldPosition="0">
        <references count="1">
          <reference field="0" count="1" selected="0">
            <x v="6"/>
          </reference>
        </references>
      </pivotArea>
    </format>
    <format dxfId="12">
      <pivotArea dataOnly="0" labelOnly="1" outline="0" fieldPosition="0">
        <references count="1">
          <reference field="0" count="1">
            <x v="6"/>
          </reference>
        </references>
      </pivotArea>
    </format>
    <format dxfId="11">
      <pivotArea outline="0" fieldPosition="0">
        <references count="1">
          <reference field="0" count="1" selected="0">
            <x v="7"/>
          </reference>
        </references>
      </pivotArea>
    </format>
    <format dxfId="10">
      <pivotArea dataOnly="0" labelOnly="1" outline="0" fieldPosition="0">
        <references count="1">
          <reference field="0" count="1">
            <x v="7"/>
          </reference>
        </references>
      </pivotArea>
    </format>
    <format dxfId="9">
      <pivotArea outline="0" fieldPosition="0">
        <references count="1">
          <reference field="0" count="1" selected="0">
            <x v="8"/>
          </reference>
        </references>
      </pivotArea>
    </format>
    <format dxfId="8">
      <pivotArea dataOnly="0" labelOnly="1" outline="0" fieldPosition="0">
        <references count="1">
          <reference field="0" count="1">
            <x v="8"/>
          </reference>
        </references>
      </pivotArea>
    </format>
    <format dxfId="7">
      <pivotArea outline="0" fieldPosition="0">
        <references count="1">
          <reference field="0" count="1" selected="0">
            <x v="9"/>
          </reference>
        </references>
      </pivotArea>
    </format>
    <format dxfId="6">
      <pivotArea dataOnly="0" labelOnly="1" outline="0" fieldPosition="0">
        <references count="1">
          <reference field="0" count="1">
            <x v="9"/>
          </reference>
        </references>
      </pivotArea>
    </format>
    <format dxfId="5">
      <pivotArea outline="0" fieldPosition="0">
        <references count="1">
          <reference field="0" count="1" selected="0">
            <x v="10"/>
          </reference>
        </references>
      </pivotArea>
    </format>
    <format dxfId="4">
      <pivotArea dataOnly="0" labelOnly="1" outline="0" fieldPosition="0">
        <references count="1">
          <reference field="0" count="1">
            <x v="10"/>
          </reference>
        </references>
      </pivotArea>
    </format>
    <format dxfId="3">
      <pivotArea outline="0" fieldPosition="0">
        <references count="1">
          <reference field="0" count="1" selected="0">
            <x v="11"/>
          </reference>
        </references>
      </pivotArea>
    </format>
    <format dxfId="2">
      <pivotArea dataOnly="0" labelOnly="1" outline="0" fieldPosition="0">
        <references count="1">
          <reference field="0" count="1">
            <x v="11"/>
          </reference>
        </references>
      </pivotArea>
    </format>
    <format dxfId="1">
      <pivotArea grandRow="1" outline="0" fieldPosition="0"/>
    </format>
    <format dxfId="0">
      <pivotArea dataOnly="0" labelOnly="1" grandRow="1" outline="0" fieldPosition="0"/>
    </format>
  </formats>
  <pivotTableStyleInfo name="PivotStyleLight15"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omments" Target="../comments1.xml"/><Relationship Id="rId4" Type="http://schemas.openxmlformats.org/officeDocument/2006/relationships/vmlDrawing" Target="../drawings/vmlDrawing2.vml"/><Relationship Id="rId9"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0"/>
  <dimension ref="A1:F47"/>
  <sheetViews>
    <sheetView showGridLines="0" topLeftCell="A7" zoomScaleNormal="100" workbookViewId="0"/>
  </sheetViews>
  <sheetFormatPr baseColWidth="10" defaultColWidth="0" defaultRowHeight="0" customHeight="1" zeroHeight="1" x14ac:dyDescent="0.25"/>
  <cols>
    <col min="1" max="1" width="3" style="17" customWidth="1"/>
    <col min="2" max="2" width="12.28515625" style="17" customWidth="1"/>
    <col min="3" max="3" width="11.42578125" style="17" customWidth="1"/>
    <col min="4" max="4" width="42.7109375" style="17" customWidth="1"/>
    <col min="5" max="5" width="30.7109375" style="17" customWidth="1"/>
    <col min="6" max="6" width="11.42578125" style="17" customWidth="1"/>
    <col min="7" max="16384" width="11.42578125" style="17" hidden="1"/>
  </cols>
  <sheetData>
    <row r="1" spans="1:6" ht="15.75" thickBot="1" x14ac:dyDescent="0.3">
      <c r="A1" s="15"/>
      <c r="B1" s="16"/>
      <c r="C1" s="16"/>
      <c r="D1" s="16"/>
      <c r="E1" s="16"/>
      <c r="F1" s="16"/>
    </row>
    <row r="2" spans="1:6" ht="26.25" x14ac:dyDescent="0.4">
      <c r="A2" s="16"/>
      <c r="B2" s="18"/>
      <c r="C2" s="155" t="s">
        <v>204</v>
      </c>
      <c r="D2" s="156"/>
      <c r="E2" s="157"/>
      <c r="F2" s="16"/>
    </row>
    <row r="3" spans="1:6" ht="23.25" x14ac:dyDescent="0.35">
      <c r="A3" s="16"/>
      <c r="B3" s="19"/>
      <c r="C3" s="149" t="s">
        <v>203</v>
      </c>
      <c r="D3" s="150"/>
      <c r="E3" s="151"/>
      <c r="F3" s="16"/>
    </row>
    <row r="4" spans="1:6" ht="20.25" thickBot="1" x14ac:dyDescent="0.35">
      <c r="A4" s="16"/>
      <c r="B4" s="20"/>
      <c r="C4" s="152" t="s">
        <v>205</v>
      </c>
      <c r="D4" s="153"/>
      <c r="E4" s="154"/>
      <c r="F4" s="16"/>
    </row>
    <row r="5" spans="1:6" ht="15.75" thickBot="1" x14ac:dyDescent="0.3">
      <c r="A5" s="16"/>
      <c r="B5" s="16"/>
      <c r="C5" s="16"/>
      <c r="D5" s="16"/>
      <c r="E5" s="16"/>
      <c r="F5" s="16"/>
    </row>
    <row r="6" spans="1:6" ht="15" x14ac:dyDescent="0.25">
      <c r="A6" s="16"/>
      <c r="B6" s="21"/>
      <c r="C6" s="22"/>
      <c r="D6" s="22"/>
      <c r="E6" s="23"/>
      <c r="F6" s="16"/>
    </row>
    <row r="7" spans="1:6" ht="32.25" x14ac:dyDescent="0.5">
      <c r="A7" s="24"/>
      <c r="B7" s="147" t="s">
        <v>200</v>
      </c>
      <c r="C7" s="148"/>
      <c r="D7" s="148"/>
      <c r="E7" s="148"/>
      <c r="F7" s="25"/>
    </row>
    <row r="8" spans="1:6" ht="15" x14ac:dyDescent="0.25">
      <c r="A8" s="16"/>
      <c r="B8" s="26"/>
      <c r="C8" s="27"/>
      <c r="D8" s="27"/>
      <c r="E8" s="28"/>
      <c r="F8" s="16"/>
    </row>
    <row r="9" spans="1:6" ht="15" x14ac:dyDescent="0.25">
      <c r="A9" s="16"/>
      <c r="B9" s="26"/>
      <c r="C9" s="27"/>
      <c r="D9" s="27"/>
      <c r="E9" s="28"/>
      <c r="F9" s="16"/>
    </row>
    <row r="10" spans="1:6" ht="15" x14ac:dyDescent="0.25">
      <c r="A10" s="16"/>
      <c r="B10" s="26"/>
      <c r="C10" s="27"/>
      <c r="D10" s="27"/>
      <c r="E10" s="28"/>
      <c r="F10" s="16"/>
    </row>
    <row r="11" spans="1:6" ht="15" x14ac:dyDescent="0.25">
      <c r="A11" s="16"/>
      <c r="B11" s="26"/>
      <c r="C11" s="27"/>
      <c r="D11" s="27"/>
      <c r="E11" s="28"/>
      <c r="F11" s="16"/>
    </row>
    <row r="12" spans="1:6" ht="15" x14ac:dyDescent="0.25">
      <c r="A12" s="16"/>
      <c r="B12" s="26"/>
      <c r="C12" s="27"/>
      <c r="D12" s="27"/>
      <c r="E12" s="28"/>
      <c r="F12" s="16"/>
    </row>
    <row r="13" spans="1:6" ht="15" x14ac:dyDescent="0.25">
      <c r="A13" s="16"/>
      <c r="B13" s="26"/>
      <c r="C13" s="27"/>
      <c r="D13" s="27"/>
      <c r="E13" s="28"/>
      <c r="F13" s="16"/>
    </row>
    <row r="14" spans="1:6" ht="15" x14ac:dyDescent="0.25">
      <c r="A14" s="16"/>
      <c r="B14" s="26"/>
      <c r="C14" s="27"/>
      <c r="D14" s="27"/>
      <c r="E14" s="28"/>
      <c r="F14" s="16"/>
    </row>
    <row r="15" spans="1:6" ht="15" x14ac:dyDescent="0.25">
      <c r="A15" s="16"/>
      <c r="B15" s="26"/>
      <c r="C15" s="27"/>
      <c r="D15" s="27"/>
      <c r="E15" s="28"/>
      <c r="F15" s="16"/>
    </row>
    <row r="16" spans="1:6" ht="15" x14ac:dyDescent="0.25">
      <c r="A16" s="16"/>
      <c r="B16" s="26"/>
      <c r="C16" s="27"/>
      <c r="D16" s="27"/>
      <c r="E16" s="28"/>
      <c r="F16" s="16"/>
    </row>
    <row r="17" spans="1:6" ht="15" x14ac:dyDescent="0.25">
      <c r="A17" s="16"/>
      <c r="B17" s="26"/>
      <c r="C17" s="27"/>
      <c r="D17" s="27"/>
      <c r="E17" s="28"/>
      <c r="F17" s="16"/>
    </row>
    <row r="18" spans="1:6" ht="15" x14ac:dyDescent="0.25">
      <c r="A18" s="16"/>
      <c r="B18" s="26"/>
      <c r="C18" s="27"/>
      <c r="D18" s="27"/>
      <c r="E18" s="28"/>
      <c r="F18" s="16"/>
    </row>
    <row r="19" spans="1:6" ht="15" x14ac:dyDescent="0.25">
      <c r="A19" s="16"/>
      <c r="B19" s="26"/>
      <c r="C19" s="27"/>
      <c r="D19" s="27"/>
      <c r="E19" s="28"/>
      <c r="F19" s="16"/>
    </row>
    <row r="20" spans="1:6" ht="15" x14ac:dyDescent="0.25">
      <c r="A20" s="16"/>
      <c r="B20" s="26"/>
      <c r="C20" s="27"/>
      <c r="D20" s="27"/>
      <c r="E20" s="28"/>
      <c r="F20" s="16"/>
    </row>
    <row r="21" spans="1:6" ht="15" x14ac:dyDescent="0.25">
      <c r="A21" s="16"/>
      <c r="B21" s="26"/>
      <c r="C21" s="27"/>
      <c r="D21" s="27"/>
      <c r="E21" s="28"/>
      <c r="F21" s="16"/>
    </row>
    <row r="22" spans="1:6" ht="15" x14ac:dyDescent="0.25">
      <c r="A22" s="16"/>
      <c r="B22" s="26"/>
      <c r="C22" s="27"/>
      <c r="D22" s="27"/>
      <c r="E22" s="28"/>
      <c r="F22" s="16"/>
    </row>
    <row r="23" spans="1:6" ht="15" x14ac:dyDescent="0.25">
      <c r="A23" s="16"/>
      <c r="B23" s="26"/>
      <c r="C23" s="27"/>
      <c r="D23" s="27"/>
      <c r="E23" s="28"/>
      <c r="F23" s="16"/>
    </row>
    <row r="24" spans="1:6" ht="15" x14ac:dyDescent="0.25">
      <c r="A24" s="16"/>
      <c r="B24" s="26"/>
      <c r="C24" s="27"/>
      <c r="D24" s="27"/>
      <c r="E24" s="28"/>
      <c r="F24" s="16"/>
    </row>
    <row r="25" spans="1:6" ht="15" x14ac:dyDescent="0.25">
      <c r="A25" s="16"/>
      <c r="B25" s="26"/>
      <c r="C25" s="27"/>
      <c r="D25" s="27"/>
      <c r="E25" s="28"/>
      <c r="F25" s="16"/>
    </row>
    <row r="26" spans="1:6" ht="15" x14ac:dyDescent="0.25">
      <c r="A26" s="16"/>
      <c r="B26" s="26"/>
      <c r="C26" s="27"/>
      <c r="D26" s="27"/>
      <c r="E26" s="28"/>
      <c r="F26" s="16"/>
    </row>
    <row r="27" spans="1:6" ht="15" x14ac:dyDescent="0.25">
      <c r="A27" s="16"/>
      <c r="B27" s="26"/>
      <c r="C27" s="27"/>
      <c r="D27" s="27"/>
      <c r="E27" s="28"/>
      <c r="F27" s="16"/>
    </row>
    <row r="28" spans="1:6" ht="15" x14ac:dyDescent="0.25">
      <c r="A28" s="16"/>
      <c r="B28" s="26"/>
      <c r="C28" s="27"/>
      <c r="D28" s="27"/>
      <c r="E28" s="28"/>
      <c r="F28" s="16"/>
    </row>
    <row r="29" spans="1:6" ht="15" x14ac:dyDescent="0.25">
      <c r="A29" s="16"/>
      <c r="B29" s="26"/>
      <c r="C29" s="27"/>
      <c r="D29" s="27"/>
      <c r="E29" s="28"/>
      <c r="F29" s="16"/>
    </row>
    <row r="30" spans="1:6" ht="15" x14ac:dyDescent="0.25">
      <c r="A30" s="16"/>
      <c r="B30" s="26"/>
      <c r="C30" s="27"/>
      <c r="D30" s="27"/>
      <c r="E30" s="28"/>
      <c r="F30" s="16"/>
    </row>
    <row r="31" spans="1:6" ht="15.75" thickBot="1" x14ac:dyDescent="0.3">
      <c r="A31" s="16"/>
      <c r="B31" s="26"/>
      <c r="C31" s="27"/>
      <c r="D31" s="27"/>
      <c r="E31" s="28"/>
      <c r="F31" s="16"/>
    </row>
    <row r="32" spans="1:6" ht="15.75" thickTop="1" x14ac:dyDescent="0.25">
      <c r="A32" s="16"/>
      <c r="B32" s="29"/>
      <c r="C32" s="30"/>
      <c r="D32" s="30"/>
      <c r="E32" s="31"/>
      <c r="F32" s="16"/>
    </row>
    <row r="33" spans="1:6" ht="15" x14ac:dyDescent="0.25">
      <c r="A33" s="16"/>
      <c r="B33" s="144" t="s">
        <v>206</v>
      </c>
      <c r="C33" s="145"/>
      <c r="D33" s="145"/>
      <c r="E33" s="146"/>
      <c r="F33" s="16"/>
    </row>
    <row r="34" spans="1:6" ht="15" x14ac:dyDescent="0.25">
      <c r="A34" s="16"/>
      <c r="B34" s="32"/>
      <c r="C34" s="16"/>
      <c r="D34" s="16"/>
      <c r="E34" s="33"/>
      <c r="F34" s="16"/>
    </row>
    <row r="35" spans="1:6" ht="15" x14ac:dyDescent="0.25">
      <c r="A35" s="16"/>
      <c r="B35" s="34" t="s">
        <v>201</v>
      </c>
      <c r="C35" s="35">
        <v>44508</v>
      </c>
      <c r="D35" s="36" t="s">
        <v>202</v>
      </c>
      <c r="E35" s="37">
        <v>0.45614583333333331</v>
      </c>
      <c r="F35" s="16"/>
    </row>
    <row r="36" spans="1:6" ht="15.75" thickBot="1" x14ac:dyDescent="0.3">
      <c r="A36" s="16"/>
      <c r="B36" s="38"/>
      <c r="C36" s="39"/>
      <c r="D36" s="39"/>
      <c r="E36" s="40"/>
      <c r="F36" s="16"/>
    </row>
    <row r="37" spans="1:6" ht="15.75" thickTop="1" x14ac:dyDescent="0.25">
      <c r="A37" s="16"/>
      <c r="B37" s="16"/>
      <c r="C37" s="16"/>
      <c r="D37" s="16"/>
      <c r="E37" s="16"/>
      <c r="F37" s="16"/>
    </row>
    <row r="38" spans="1:6" ht="15" hidden="1" x14ac:dyDescent="0.25">
      <c r="A38" s="16"/>
      <c r="B38" s="16"/>
      <c r="C38" s="16"/>
      <c r="D38" s="16"/>
      <c r="E38" s="16"/>
      <c r="F38" s="16"/>
    </row>
    <row r="39" spans="1:6" ht="15" hidden="1" x14ac:dyDescent="0.25"/>
    <row r="40" spans="1:6" ht="15" hidden="1" x14ac:dyDescent="0.25"/>
    <row r="41" spans="1:6" ht="15" hidden="1" x14ac:dyDescent="0.25"/>
    <row r="42" spans="1:6" ht="15" hidden="1" x14ac:dyDescent="0.25"/>
    <row r="43" spans="1:6" ht="15" hidden="1" x14ac:dyDescent="0.25"/>
    <row r="44" spans="1:6" ht="15" hidden="1" x14ac:dyDescent="0.25"/>
    <row r="45" spans="1:6" ht="15" hidden="1" x14ac:dyDescent="0.25"/>
    <row r="46" spans="1:6" ht="15" hidden="1" x14ac:dyDescent="0.25"/>
    <row r="47" spans="1:6" ht="15" hidden="1" customHeight="1" x14ac:dyDescent="0.25"/>
  </sheetData>
  <sheetProtection algorithmName="SHA-512" hashValue="764+l+i4D3vj9Xa/CC/ri+J/PxR7aZHRp4cLzkacCkkxg8I/Exdb0m1qkWD0wfvPOpaEDcBYhlYY0PjYkUTofw==" saltValue="+alLgKjMzW0wRVsx9YIflg==" spinCount="100000" sheet="1" objects="1" scenarios="1" selectLockedCells="1"/>
  <mergeCells count="5">
    <mergeCell ref="B33:E33"/>
    <mergeCell ref="B7:E7"/>
    <mergeCell ref="C3:E3"/>
    <mergeCell ref="C4:E4"/>
    <mergeCell ref="C2:E2"/>
  </mergeCells>
  <pageMargins left="0.70866141732283472" right="0.70866141732283472" top="0.74803149606299213" bottom="0.74803149606299213" header="0.31496062992125984" footer="0.31496062992125984"/>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Hoja10.opc1">
                <anchor moveWithCells="1" sizeWithCells="1">
                  <from>
                    <xdr:col>1</xdr:col>
                    <xdr:colOff>752475</xdr:colOff>
                    <xdr:row>8</xdr:row>
                    <xdr:rowOff>28575</xdr:rowOff>
                  </from>
                  <to>
                    <xdr:col>4</xdr:col>
                    <xdr:colOff>1381125</xdr:colOff>
                    <xdr:row>10</xdr:row>
                    <xdr:rowOff>38100</xdr:rowOff>
                  </to>
                </anchor>
              </controlPr>
            </control>
          </mc:Choice>
        </mc:AlternateContent>
        <mc:AlternateContent xmlns:mc="http://schemas.openxmlformats.org/markup-compatibility/2006">
          <mc:Choice Requires="x14">
            <control shapeId="21506" r:id="rId5" name="Button 2">
              <controlPr defaultSize="0" print="0" autoFill="0" autoPict="0" macro="[0]!SALIDAEXCEL">
                <anchor moveWithCells="1" sizeWithCells="1">
                  <from>
                    <xdr:col>1</xdr:col>
                    <xdr:colOff>657225</xdr:colOff>
                    <xdr:row>28</xdr:row>
                    <xdr:rowOff>0</xdr:rowOff>
                  </from>
                  <to>
                    <xdr:col>4</xdr:col>
                    <xdr:colOff>1552575</xdr:colOff>
                    <xdr:row>29</xdr:row>
                    <xdr:rowOff>114300</xdr:rowOff>
                  </to>
                </anchor>
              </controlPr>
            </control>
          </mc:Choice>
        </mc:AlternateContent>
        <mc:AlternateContent xmlns:mc="http://schemas.openxmlformats.org/markup-compatibility/2006">
          <mc:Choice Requires="x14">
            <control shapeId="21507" r:id="rId6" name="Button 3">
              <controlPr defaultSize="0" print="0" autoFill="0" autoPict="0" macro="[0]!xcxc">
                <anchor moveWithCells="1" sizeWithCells="1">
                  <from>
                    <xdr:col>1</xdr:col>
                    <xdr:colOff>752475</xdr:colOff>
                    <xdr:row>11</xdr:row>
                    <xdr:rowOff>0</xdr:rowOff>
                  </from>
                  <to>
                    <xdr:col>4</xdr:col>
                    <xdr:colOff>1381125</xdr:colOff>
                    <xdr:row>13</xdr:row>
                    <xdr:rowOff>28575</xdr:rowOff>
                  </to>
                </anchor>
              </controlPr>
            </control>
          </mc:Choice>
        </mc:AlternateContent>
        <mc:AlternateContent xmlns:mc="http://schemas.openxmlformats.org/markup-compatibility/2006">
          <mc:Choice Requires="x14">
            <control shapeId="21508" r:id="rId7" name="Button 4">
              <controlPr defaultSize="0" print="0" autoFill="0" autoPict="0" macro="[3]!LISTADO">
                <anchor>
                  <from>
                    <xdr:col>16383</xdr:col>
                    <xdr:colOff>0</xdr:colOff>
                    <xdr:row>17</xdr:row>
                    <xdr:rowOff>142875</xdr:rowOff>
                  </from>
                  <to>
                    <xdr:col>16383</xdr:col>
                    <xdr:colOff>0</xdr:colOff>
                    <xdr:row>19</xdr:row>
                    <xdr:rowOff>104775</xdr:rowOff>
                  </to>
                </anchor>
              </controlPr>
            </control>
          </mc:Choice>
        </mc:AlternateContent>
        <mc:AlternateContent xmlns:mc="http://schemas.openxmlformats.org/markup-compatibility/2006">
          <mc:Choice Requires="x14">
            <control shapeId="21509" r:id="rId8" name="Button 5">
              <controlPr defaultSize="0" print="0" autoFill="0" autoPict="0" macro="[0]!xcxc">
                <anchor>
                  <from>
                    <xdr:col>6</xdr:col>
                    <xdr:colOff>0</xdr:colOff>
                    <xdr:row>31</xdr:row>
                    <xdr:rowOff>47625</xdr:rowOff>
                  </from>
                  <to>
                    <xdr:col>6</xdr:col>
                    <xdr:colOff>0</xdr:colOff>
                    <xdr:row>31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B3:W61"/>
  <sheetViews>
    <sheetView workbookViewId="0">
      <selection activeCell="D12" sqref="D12"/>
    </sheetView>
  </sheetViews>
  <sheetFormatPr baseColWidth="10" defaultRowHeight="12.75" x14ac:dyDescent="0.2"/>
  <cols>
    <col min="1" max="1" width="5.42578125" customWidth="1"/>
    <col min="2" max="2" width="30" bestFit="1" customWidth="1"/>
    <col min="3" max="3" width="10.140625" style="42" bestFit="1" customWidth="1"/>
    <col min="4" max="4" width="23.28515625" bestFit="1" customWidth="1"/>
    <col min="5" max="5" width="10.28515625" bestFit="1" customWidth="1"/>
    <col min="6" max="6" width="15.7109375" bestFit="1" customWidth="1"/>
    <col min="7" max="7" width="10.140625" bestFit="1" customWidth="1"/>
    <col min="8" max="8" width="35.7109375" customWidth="1"/>
    <col min="9" max="9" width="9.28515625" bestFit="1" customWidth="1"/>
    <col min="10" max="10" width="9.28515625" customWidth="1"/>
    <col min="11" max="11" width="39.42578125" bestFit="1" customWidth="1"/>
    <col min="12" max="12" width="19" customWidth="1"/>
    <col min="13" max="13" width="12.140625" customWidth="1"/>
    <col min="21" max="21" width="12" bestFit="1" customWidth="1"/>
    <col min="22" max="22" width="22.85546875" customWidth="1"/>
    <col min="23" max="23" width="11.42578125" style="42"/>
  </cols>
  <sheetData>
    <row r="3" spans="2:23" x14ac:dyDescent="0.2">
      <c r="B3" s="44">
        <v>2</v>
      </c>
      <c r="C3" s="44">
        <v>3</v>
      </c>
      <c r="D3" s="44">
        <v>4</v>
      </c>
      <c r="E3" s="44">
        <v>5</v>
      </c>
      <c r="F3" s="44">
        <v>6</v>
      </c>
      <c r="G3" s="44">
        <v>7</v>
      </c>
      <c r="H3" s="44">
        <v>8</v>
      </c>
      <c r="I3" s="44">
        <v>9</v>
      </c>
      <c r="J3" s="44">
        <v>10</v>
      </c>
      <c r="K3" s="44">
        <v>11</v>
      </c>
      <c r="L3" s="44">
        <v>12</v>
      </c>
      <c r="M3" s="44">
        <v>13</v>
      </c>
      <c r="N3" s="44">
        <v>14</v>
      </c>
      <c r="O3" s="44">
        <v>15</v>
      </c>
      <c r="P3" s="44">
        <v>16</v>
      </c>
      <c r="Q3" s="44">
        <v>17</v>
      </c>
      <c r="R3" s="44">
        <v>18</v>
      </c>
      <c r="S3" s="44">
        <v>19</v>
      </c>
      <c r="T3" s="44">
        <v>20</v>
      </c>
      <c r="U3" s="44">
        <v>21</v>
      </c>
      <c r="V3" s="44">
        <v>22</v>
      </c>
      <c r="W3" s="44">
        <v>23</v>
      </c>
    </row>
    <row r="4" spans="2:23" x14ac:dyDescent="0.2">
      <c r="B4" s="45" t="s">
        <v>207</v>
      </c>
      <c r="C4" s="46" t="s">
        <v>208</v>
      </c>
      <c r="D4" s="45" t="s">
        <v>139</v>
      </c>
      <c r="E4" s="45" t="s">
        <v>140</v>
      </c>
      <c r="F4" s="45" t="s">
        <v>209</v>
      </c>
      <c r="G4" s="45" t="s">
        <v>210</v>
      </c>
      <c r="H4" s="45" t="s">
        <v>2</v>
      </c>
      <c r="I4" s="45" t="s">
        <v>212</v>
      </c>
      <c r="J4" s="45" t="s">
        <v>213</v>
      </c>
      <c r="K4" s="45" t="s">
        <v>211</v>
      </c>
      <c r="L4" s="45" t="s">
        <v>214</v>
      </c>
      <c r="M4" s="45" t="s">
        <v>215</v>
      </c>
      <c r="N4" s="45" t="s">
        <v>216</v>
      </c>
      <c r="O4" s="45" t="s">
        <v>217</v>
      </c>
      <c r="P4" s="45" t="s">
        <v>218</v>
      </c>
      <c r="Q4" s="45" t="s">
        <v>219</v>
      </c>
      <c r="R4" s="45" t="s">
        <v>220</v>
      </c>
      <c r="S4" s="45" t="s">
        <v>221</v>
      </c>
      <c r="T4" s="45" t="s">
        <v>222</v>
      </c>
      <c r="U4" s="45" t="s">
        <v>223</v>
      </c>
      <c r="V4" s="45" t="s">
        <v>229</v>
      </c>
      <c r="W4" s="46" t="s">
        <v>230</v>
      </c>
    </row>
    <row r="5" spans="2:23" x14ac:dyDescent="0.2">
      <c r="U5" s="43"/>
    </row>
    <row r="6" spans="2:23" x14ac:dyDescent="0.2">
      <c r="U6" s="43"/>
    </row>
    <row r="7" spans="2:23" x14ac:dyDescent="0.2">
      <c r="U7" s="43"/>
    </row>
    <row r="8" spans="2:23" x14ac:dyDescent="0.2">
      <c r="U8" s="43"/>
    </row>
    <row r="9" spans="2:23" x14ac:dyDescent="0.2">
      <c r="U9" s="43"/>
    </row>
    <row r="10" spans="2:23" x14ac:dyDescent="0.2">
      <c r="U10" s="43"/>
    </row>
    <row r="11" spans="2:23" x14ac:dyDescent="0.2">
      <c r="U11" s="43"/>
    </row>
    <row r="12" spans="2:23" x14ac:dyDescent="0.2">
      <c r="U12" s="43"/>
    </row>
    <row r="13" spans="2:23" x14ac:dyDescent="0.2">
      <c r="U13" s="43"/>
    </row>
    <row r="14" spans="2:23" x14ac:dyDescent="0.2">
      <c r="U14" s="43"/>
    </row>
    <row r="15" spans="2:23" x14ac:dyDescent="0.2">
      <c r="U15" s="43"/>
    </row>
    <row r="16" spans="2:23" x14ac:dyDescent="0.2">
      <c r="U16" s="43"/>
    </row>
    <row r="17" spans="21:21" x14ac:dyDescent="0.2">
      <c r="U17" s="43"/>
    </row>
    <row r="18" spans="21:21" x14ac:dyDescent="0.2">
      <c r="U18" s="43"/>
    </row>
    <row r="19" spans="21:21" x14ac:dyDescent="0.2">
      <c r="U19" s="43"/>
    </row>
    <row r="20" spans="21:21" x14ac:dyDescent="0.2">
      <c r="U20" s="43"/>
    </row>
    <row r="21" spans="21:21" x14ac:dyDescent="0.2">
      <c r="U21" s="43"/>
    </row>
    <row r="22" spans="21:21" x14ac:dyDescent="0.2">
      <c r="U22" s="43"/>
    </row>
    <row r="23" spans="21:21" x14ac:dyDescent="0.2">
      <c r="U23" s="43"/>
    </row>
    <row r="24" spans="21:21" x14ac:dyDescent="0.2">
      <c r="U24" s="43"/>
    </row>
    <row r="25" spans="21:21" x14ac:dyDescent="0.2">
      <c r="U25" s="43"/>
    </row>
    <row r="26" spans="21:21" x14ac:dyDescent="0.2">
      <c r="U26" s="43"/>
    </row>
    <row r="27" spans="21:21" x14ac:dyDescent="0.2">
      <c r="U27" s="43"/>
    </row>
    <row r="28" spans="21:21" x14ac:dyDescent="0.2">
      <c r="U28" s="43"/>
    </row>
    <row r="29" spans="21:21" x14ac:dyDescent="0.2">
      <c r="U29" s="43"/>
    </row>
    <row r="30" spans="21:21" x14ac:dyDescent="0.2">
      <c r="U30" s="43"/>
    </row>
    <row r="31" spans="21:21" x14ac:dyDescent="0.2">
      <c r="U31" s="43"/>
    </row>
    <row r="32" spans="21:21" x14ac:dyDescent="0.2">
      <c r="U32" s="43"/>
    </row>
    <row r="33" spans="21:21" x14ac:dyDescent="0.2">
      <c r="U33" s="43"/>
    </row>
    <row r="34" spans="21:21" x14ac:dyDescent="0.2">
      <c r="U34" s="43"/>
    </row>
    <row r="35" spans="21:21" x14ac:dyDescent="0.2">
      <c r="U35" s="43"/>
    </row>
    <row r="36" spans="21:21" x14ac:dyDescent="0.2">
      <c r="U36" s="43"/>
    </row>
    <row r="37" spans="21:21" x14ac:dyDescent="0.2">
      <c r="U37" s="43"/>
    </row>
    <row r="38" spans="21:21" x14ac:dyDescent="0.2">
      <c r="U38" s="43"/>
    </row>
    <row r="39" spans="21:21" x14ac:dyDescent="0.2">
      <c r="U39" s="43"/>
    </row>
    <row r="40" spans="21:21" x14ac:dyDescent="0.2">
      <c r="U40" s="43"/>
    </row>
    <row r="41" spans="21:21" x14ac:dyDescent="0.2">
      <c r="U41" s="43"/>
    </row>
    <row r="42" spans="21:21" x14ac:dyDescent="0.2">
      <c r="U42" s="43"/>
    </row>
    <row r="43" spans="21:21" x14ac:dyDescent="0.2">
      <c r="U43" s="43"/>
    </row>
    <row r="44" spans="21:21" x14ac:dyDescent="0.2">
      <c r="U44" s="43"/>
    </row>
    <row r="45" spans="21:21" x14ac:dyDescent="0.2">
      <c r="U45" s="43"/>
    </row>
    <row r="46" spans="21:21" x14ac:dyDescent="0.2">
      <c r="U46" s="43"/>
    </row>
    <row r="47" spans="21:21" x14ac:dyDescent="0.2">
      <c r="U47" s="43"/>
    </row>
    <row r="48" spans="21:21" x14ac:dyDescent="0.2">
      <c r="U48" s="43"/>
    </row>
    <row r="49" spans="21:21" x14ac:dyDescent="0.2">
      <c r="U49" s="43"/>
    </row>
    <row r="50" spans="21:21" x14ac:dyDescent="0.2">
      <c r="U50" s="43"/>
    </row>
    <row r="51" spans="21:21" x14ac:dyDescent="0.2">
      <c r="U51" s="43"/>
    </row>
    <row r="52" spans="21:21" x14ac:dyDescent="0.2">
      <c r="U52" s="43"/>
    </row>
    <row r="53" spans="21:21" x14ac:dyDescent="0.2">
      <c r="U53" s="43"/>
    </row>
    <row r="54" spans="21:21" x14ac:dyDescent="0.2">
      <c r="U54" s="43"/>
    </row>
    <row r="55" spans="21:21" x14ac:dyDescent="0.2">
      <c r="U55" s="43"/>
    </row>
    <row r="56" spans="21:21" x14ac:dyDescent="0.2">
      <c r="U56" s="43"/>
    </row>
    <row r="57" spans="21:21" x14ac:dyDescent="0.2">
      <c r="U57" s="43"/>
    </row>
    <row r="58" spans="21:21" x14ac:dyDescent="0.2">
      <c r="U58" s="43"/>
    </row>
    <row r="59" spans="21:21" x14ac:dyDescent="0.2">
      <c r="U59" s="43"/>
    </row>
    <row r="60" spans="21:21" x14ac:dyDescent="0.2">
      <c r="U60" s="43"/>
    </row>
    <row r="61" spans="21:21" x14ac:dyDescent="0.2">
      <c r="U61" s="43"/>
    </row>
  </sheetData>
  <sheetProtection select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dimension ref="A1:W281"/>
  <sheetViews>
    <sheetView workbookViewId="0">
      <selection activeCell="A15" sqref="A15"/>
    </sheetView>
  </sheetViews>
  <sheetFormatPr baseColWidth="10" defaultColWidth="11.42578125" defaultRowHeight="12.75" x14ac:dyDescent="0.2"/>
  <cols>
    <col min="1" max="1" width="57.85546875" customWidth="1"/>
    <col min="2" max="2" width="47.85546875" customWidth="1"/>
    <col min="3" max="3" width="36" customWidth="1"/>
    <col min="4" max="4" width="37.28515625" customWidth="1"/>
    <col min="7" max="7" width="2.42578125" bestFit="1" customWidth="1"/>
    <col min="8" max="8" width="4" bestFit="1" customWidth="1"/>
    <col min="9" max="9" width="29.7109375" bestFit="1" customWidth="1"/>
    <col min="10" max="10" width="31.42578125" customWidth="1"/>
    <col min="11" max="11" width="8.85546875" customWidth="1"/>
    <col min="12" max="12" width="59.28515625" customWidth="1"/>
    <col min="13" max="13" width="5" customWidth="1"/>
    <col min="14" max="14" width="2" bestFit="1" customWidth="1"/>
    <col min="15" max="15" width="26.140625" bestFit="1" customWidth="1"/>
    <col min="16" max="16" width="3" bestFit="1" customWidth="1"/>
    <col min="17" max="17" width="3" customWidth="1"/>
    <col min="18" max="18" width="7.85546875" bestFit="1" customWidth="1"/>
    <col min="19" max="19" width="30.140625" customWidth="1"/>
    <col min="20" max="20" width="42.7109375" customWidth="1"/>
    <col min="21" max="21" width="14.140625" customWidth="1"/>
    <col min="22" max="22" width="39.42578125" customWidth="1"/>
    <col min="23" max="23" width="44.7109375" customWidth="1"/>
  </cols>
  <sheetData>
    <row r="1" spans="1:23" x14ac:dyDescent="0.2">
      <c r="A1" t="s">
        <v>138</v>
      </c>
      <c r="B1" t="s">
        <v>139</v>
      </c>
      <c r="C1" t="s">
        <v>140</v>
      </c>
      <c r="D1" t="s">
        <v>141</v>
      </c>
      <c r="E1" t="s">
        <v>260</v>
      </c>
      <c r="F1">
        <v>0</v>
      </c>
    </row>
    <row r="2" spans="1:23" ht="15.75" x14ac:dyDescent="0.2">
      <c r="A2" t="s">
        <v>75</v>
      </c>
      <c r="B2" t="s">
        <v>76</v>
      </c>
      <c r="C2" t="s">
        <v>142</v>
      </c>
      <c r="D2" t="s">
        <v>143</v>
      </c>
      <c r="E2" s="42">
        <v>43043</v>
      </c>
      <c r="F2">
        <v>20</v>
      </c>
      <c r="G2" s="5">
        <v>0</v>
      </c>
      <c r="H2">
        <v>20</v>
      </c>
      <c r="I2" t="s">
        <v>169</v>
      </c>
      <c r="J2" t="s">
        <v>227</v>
      </c>
      <c r="K2">
        <v>1</v>
      </c>
      <c r="L2" t="s">
        <v>110</v>
      </c>
      <c r="N2">
        <v>1</v>
      </c>
      <c r="O2" t="s">
        <v>110</v>
      </c>
      <c r="P2">
        <v>1</v>
      </c>
      <c r="Q2">
        <v>1</v>
      </c>
      <c r="R2" t="s">
        <v>178</v>
      </c>
      <c r="S2" s="47" t="s">
        <v>19</v>
      </c>
      <c r="T2" t="s">
        <v>67</v>
      </c>
      <c r="U2" s="11">
        <v>0</v>
      </c>
    </row>
    <row r="3" spans="1:23" ht="15.75" x14ac:dyDescent="0.2">
      <c r="A3" t="s">
        <v>79</v>
      </c>
      <c r="B3" t="s">
        <v>147</v>
      </c>
      <c r="C3" t="s">
        <v>148</v>
      </c>
      <c r="D3" t="s">
        <v>146</v>
      </c>
      <c r="E3" s="42">
        <v>43043</v>
      </c>
      <c r="F3">
        <v>40</v>
      </c>
      <c r="G3" s="5">
        <v>20</v>
      </c>
      <c r="H3">
        <v>60</v>
      </c>
      <c r="I3" t="s">
        <v>168</v>
      </c>
      <c r="J3" t="s">
        <v>226</v>
      </c>
      <c r="K3">
        <v>2</v>
      </c>
      <c r="L3" t="s">
        <v>172</v>
      </c>
      <c r="N3">
        <v>1</v>
      </c>
      <c r="O3" t="s">
        <v>110</v>
      </c>
      <c r="P3">
        <v>2</v>
      </c>
      <c r="Q3">
        <v>1</v>
      </c>
      <c r="R3" t="s">
        <v>178</v>
      </c>
      <c r="S3" s="47"/>
      <c r="T3" t="s">
        <v>5</v>
      </c>
      <c r="U3" s="11">
        <v>0</v>
      </c>
    </row>
    <row r="4" spans="1:23" ht="15.75" x14ac:dyDescent="0.2">
      <c r="A4" t="s">
        <v>80</v>
      </c>
      <c r="B4" t="s">
        <v>149</v>
      </c>
      <c r="C4" t="s">
        <v>144</v>
      </c>
      <c r="D4" t="s">
        <v>150</v>
      </c>
      <c r="E4" s="42">
        <v>43043</v>
      </c>
      <c r="F4">
        <v>60</v>
      </c>
      <c r="G4" s="5">
        <v>60</v>
      </c>
      <c r="H4">
        <v>80</v>
      </c>
      <c r="I4" t="s">
        <v>167</v>
      </c>
      <c r="K4">
        <v>3</v>
      </c>
      <c r="L4" t="s">
        <v>173</v>
      </c>
      <c r="N4">
        <v>1</v>
      </c>
      <c r="O4" t="s">
        <v>110</v>
      </c>
      <c r="P4">
        <v>3</v>
      </c>
      <c r="Q4">
        <v>1</v>
      </c>
      <c r="R4" t="s">
        <v>178</v>
      </c>
      <c r="S4" s="47"/>
      <c r="T4" t="s">
        <v>54</v>
      </c>
      <c r="U4" s="11">
        <v>0</v>
      </c>
    </row>
    <row r="5" spans="1:23" ht="15.75" x14ac:dyDescent="0.2">
      <c r="A5" t="s">
        <v>269</v>
      </c>
      <c r="B5" t="s">
        <v>149</v>
      </c>
      <c r="C5" t="s">
        <v>148</v>
      </c>
      <c r="D5" t="s">
        <v>152</v>
      </c>
      <c r="E5" s="42">
        <v>43043</v>
      </c>
      <c r="F5">
        <v>80</v>
      </c>
      <c r="G5" s="5">
        <v>80</v>
      </c>
      <c r="H5">
        <v>90</v>
      </c>
      <c r="I5" t="s">
        <v>170</v>
      </c>
      <c r="K5">
        <v>4</v>
      </c>
      <c r="L5" t="s">
        <v>174</v>
      </c>
      <c r="N5">
        <v>1</v>
      </c>
      <c r="O5" t="s">
        <v>110</v>
      </c>
      <c r="P5">
        <v>4</v>
      </c>
      <c r="Q5">
        <v>1</v>
      </c>
      <c r="R5" t="s">
        <v>178</v>
      </c>
      <c r="S5" s="47"/>
      <c r="T5" t="s">
        <v>63</v>
      </c>
      <c r="U5" s="11">
        <v>0</v>
      </c>
    </row>
    <row r="6" spans="1:23" ht="15.75" x14ac:dyDescent="0.2">
      <c r="A6" t="s">
        <v>81</v>
      </c>
      <c r="B6" t="s">
        <v>82</v>
      </c>
      <c r="C6" t="s">
        <v>151</v>
      </c>
      <c r="D6" t="s">
        <v>152</v>
      </c>
      <c r="E6" s="42">
        <v>43043</v>
      </c>
      <c r="F6">
        <v>100</v>
      </c>
      <c r="G6" s="5">
        <v>90</v>
      </c>
      <c r="H6">
        <v>100</v>
      </c>
      <c r="I6" t="s">
        <v>171</v>
      </c>
      <c r="K6">
        <v>5</v>
      </c>
      <c r="L6" t="s">
        <v>175</v>
      </c>
      <c r="N6">
        <v>1</v>
      </c>
      <c r="O6" t="s">
        <v>110</v>
      </c>
      <c r="P6">
        <v>5</v>
      </c>
      <c r="Q6">
        <v>1</v>
      </c>
      <c r="R6" t="s">
        <v>178</v>
      </c>
      <c r="S6" s="47"/>
      <c r="T6" t="s">
        <v>62</v>
      </c>
      <c r="U6" s="11">
        <v>0</v>
      </c>
    </row>
    <row r="7" spans="1:23" ht="15.75" x14ac:dyDescent="0.2">
      <c r="A7" t="s">
        <v>83</v>
      </c>
      <c r="B7" t="s">
        <v>153</v>
      </c>
      <c r="C7" t="s">
        <v>144</v>
      </c>
      <c r="D7" t="s">
        <v>278</v>
      </c>
      <c r="E7" s="42">
        <v>43043</v>
      </c>
      <c r="K7">
        <v>6</v>
      </c>
      <c r="L7" t="s">
        <v>176</v>
      </c>
      <c r="N7">
        <v>1</v>
      </c>
      <c r="O7" t="s">
        <v>110</v>
      </c>
      <c r="P7">
        <v>6</v>
      </c>
      <c r="Q7">
        <v>1</v>
      </c>
      <c r="R7" t="s">
        <v>178</v>
      </c>
      <c r="S7" s="47"/>
      <c r="T7" t="s">
        <v>4</v>
      </c>
      <c r="U7" s="48">
        <f>+AVERAGE(U2:U6)</f>
        <v>0</v>
      </c>
      <c r="V7" t="s">
        <v>19</v>
      </c>
      <c r="W7" t="s">
        <v>240</v>
      </c>
    </row>
    <row r="8" spans="1:23" ht="15.75" x14ac:dyDescent="0.2">
      <c r="A8" t="s">
        <v>84</v>
      </c>
      <c r="B8" t="s">
        <v>85</v>
      </c>
      <c r="C8" t="s">
        <v>151</v>
      </c>
      <c r="D8" t="s">
        <v>152</v>
      </c>
      <c r="E8" s="42">
        <v>43043</v>
      </c>
      <c r="K8">
        <v>7</v>
      </c>
      <c r="L8" t="s">
        <v>177</v>
      </c>
      <c r="N8">
        <v>1</v>
      </c>
      <c r="O8" t="s">
        <v>110</v>
      </c>
      <c r="P8">
        <v>7</v>
      </c>
      <c r="Q8">
        <v>2</v>
      </c>
      <c r="R8" t="s">
        <v>179</v>
      </c>
      <c r="S8" s="47" t="s">
        <v>28</v>
      </c>
      <c r="T8" t="s">
        <v>29</v>
      </c>
      <c r="U8" s="11">
        <v>0</v>
      </c>
    </row>
    <row r="9" spans="1:23" ht="15.75" x14ac:dyDescent="0.2">
      <c r="A9" t="s">
        <v>86</v>
      </c>
      <c r="B9" t="s">
        <v>87</v>
      </c>
      <c r="C9" t="s">
        <v>144</v>
      </c>
      <c r="D9" t="s">
        <v>146</v>
      </c>
      <c r="E9" s="42">
        <v>43043</v>
      </c>
      <c r="N9">
        <v>1</v>
      </c>
      <c r="O9" t="s">
        <v>110</v>
      </c>
      <c r="P9">
        <v>8</v>
      </c>
      <c r="Q9">
        <v>2</v>
      </c>
      <c r="R9" t="s">
        <v>179</v>
      </c>
      <c r="S9" s="47"/>
      <c r="T9" t="s">
        <v>30</v>
      </c>
      <c r="U9" s="11">
        <v>0</v>
      </c>
    </row>
    <row r="10" spans="1:23" ht="15.75" x14ac:dyDescent="0.2">
      <c r="A10" t="s">
        <v>88</v>
      </c>
      <c r="B10" t="s">
        <v>89</v>
      </c>
      <c r="C10" t="s">
        <v>144</v>
      </c>
      <c r="D10" t="s">
        <v>143</v>
      </c>
      <c r="E10" s="42">
        <v>43043</v>
      </c>
      <c r="F10" s="5" t="s">
        <v>1</v>
      </c>
      <c r="N10">
        <v>1</v>
      </c>
      <c r="O10" t="s">
        <v>110</v>
      </c>
      <c r="P10">
        <v>9</v>
      </c>
      <c r="Q10">
        <v>2</v>
      </c>
      <c r="R10" t="s">
        <v>179</v>
      </c>
      <c r="S10" s="47"/>
      <c r="T10" t="s">
        <v>31</v>
      </c>
      <c r="U10" s="11">
        <v>0</v>
      </c>
    </row>
    <row r="11" spans="1:23" ht="15.75" x14ac:dyDescent="0.2">
      <c r="A11" t="s">
        <v>90</v>
      </c>
      <c r="B11" t="s">
        <v>91</v>
      </c>
      <c r="C11" t="s">
        <v>142</v>
      </c>
      <c r="D11" t="s">
        <v>143</v>
      </c>
      <c r="E11" s="42">
        <v>43043</v>
      </c>
      <c r="L11" t="s">
        <v>22</v>
      </c>
      <c r="N11">
        <v>1</v>
      </c>
      <c r="O11" t="s">
        <v>110</v>
      </c>
      <c r="P11">
        <v>10</v>
      </c>
      <c r="Q11">
        <v>2</v>
      </c>
      <c r="R11" t="s">
        <v>179</v>
      </c>
      <c r="S11" s="47"/>
      <c r="T11" t="s">
        <v>32</v>
      </c>
      <c r="U11" s="11">
        <v>0</v>
      </c>
    </row>
    <row r="12" spans="1:23" ht="15.75" x14ac:dyDescent="0.2">
      <c r="A12" t="s">
        <v>274</v>
      </c>
      <c r="B12" t="s">
        <v>92</v>
      </c>
      <c r="C12" t="s">
        <v>144</v>
      </c>
      <c r="D12" t="s">
        <v>278</v>
      </c>
      <c r="E12" s="42">
        <v>43043</v>
      </c>
      <c r="L12" t="s">
        <v>33</v>
      </c>
      <c r="N12">
        <v>1</v>
      </c>
      <c r="O12" t="s">
        <v>110</v>
      </c>
      <c r="P12">
        <v>11</v>
      </c>
      <c r="Q12">
        <v>2</v>
      </c>
      <c r="R12" t="s">
        <v>179</v>
      </c>
      <c r="S12" s="47"/>
      <c r="T12" t="s">
        <v>4</v>
      </c>
      <c r="U12" s="48">
        <f>+AVERAGE(U8:U11)</f>
        <v>0</v>
      </c>
      <c r="V12" t="s">
        <v>28</v>
      </c>
      <c r="W12" t="s">
        <v>241</v>
      </c>
    </row>
    <row r="13" spans="1:23" ht="15.75" x14ac:dyDescent="0.2">
      <c r="A13" t="s">
        <v>93</v>
      </c>
      <c r="B13" t="s">
        <v>94</v>
      </c>
      <c r="C13" t="s">
        <v>154</v>
      </c>
      <c r="D13" t="s">
        <v>155</v>
      </c>
      <c r="E13" s="42">
        <v>43043</v>
      </c>
      <c r="L13" t="s">
        <v>69</v>
      </c>
      <c r="N13">
        <v>1</v>
      </c>
      <c r="O13" t="s">
        <v>110</v>
      </c>
      <c r="P13">
        <v>12</v>
      </c>
      <c r="Q13">
        <v>3</v>
      </c>
      <c r="R13" t="s">
        <v>180</v>
      </c>
      <c r="S13" s="47" t="s">
        <v>6</v>
      </c>
      <c r="T13" t="s">
        <v>7</v>
      </c>
      <c r="U13" s="11">
        <v>0</v>
      </c>
    </row>
    <row r="14" spans="1:23" ht="15.75" x14ac:dyDescent="0.2">
      <c r="A14" t="s">
        <v>265</v>
      </c>
      <c r="B14" t="s">
        <v>94</v>
      </c>
      <c r="C14" t="s">
        <v>148</v>
      </c>
      <c r="D14" t="s">
        <v>152</v>
      </c>
      <c r="E14" s="42">
        <v>43043</v>
      </c>
      <c r="L14" t="s">
        <v>19</v>
      </c>
      <c r="N14">
        <v>1</v>
      </c>
      <c r="O14" t="s">
        <v>110</v>
      </c>
      <c r="P14">
        <v>13</v>
      </c>
      <c r="Q14">
        <v>3</v>
      </c>
      <c r="R14" t="s">
        <v>180</v>
      </c>
      <c r="S14" s="47"/>
      <c r="T14" t="s">
        <v>8</v>
      </c>
      <c r="U14" s="11">
        <v>0</v>
      </c>
    </row>
    <row r="15" spans="1:23" ht="15.75" x14ac:dyDescent="0.2">
      <c r="A15" t="s">
        <v>275</v>
      </c>
      <c r="B15" t="s">
        <v>95</v>
      </c>
      <c r="C15" t="s">
        <v>156</v>
      </c>
      <c r="D15" t="s">
        <v>152</v>
      </c>
      <c r="E15" s="42"/>
      <c r="L15" t="s">
        <v>20</v>
      </c>
      <c r="N15">
        <v>1</v>
      </c>
      <c r="O15" t="s">
        <v>110</v>
      </c>
      <c r="P15">
        <v>14</v>
      </c>
      <c r="Q15">
        <v>3</v>
      </c>
      <c r="R15" t="s">
        <v>180</v>
      </c>
      <c r="S15" s="47"/>
      <c r="T15" t="s">
        <v>9</v>
      </c>
      <c r="U15" s="11">
        <v>0</v>
      </c>
    </row>
    <row r="16" spans="1:23" ht="15.75" x14ac:dyDescent="0.2">
      <c r="A16" t="s">
        <v>96</v>
      </c>
      <c r="B16" t="s">
        <v>77</v>
      </c>
      <c r="C16" t="s">
        <v>144</v>
      </c>
      <c r="D16" t="s">
        <v>278</v>
      </c>
      <c r="E16" s="42">
        <v>43043</v>
      </c>
      <c r="L16" t="s">
        <v>44</v>
      </c>
      <c r="N16">
        <v>1</v>
      </c>
      <c r="O16" t="s">
        <v>110</v>
      </c>
      <c r="P16">
        <v>15</v>
      </c>
      <c r="Q16">
        <v>3</v>
      </c>
      <c r="R16" t="s">
        <v>180</v>
      </c>
      <c r="S16" s="47"/>
      <c r="T16" t="s">
        <v>10</v>
      </c>
      <c r="U16" s="11">
        <v>0</v>
      </c>
    </row>
    <row r="17" spans="1:23" ht="15.75" x14ac:dyDescent="0.2">
      <c r="A17" t="s">
        <v>263</v>
      </c>
      <c r="B17" t="s">
        <v>97</v>
      </c>
      <c r="C17" t="s">
        <v>157</v>
      </c>
      <c r="D17" t="s">
        <v>158</v>
      </c>
      <c r="E17" s="42">
        <v>43043</v>
      </c>
      <c r="L17" t="s">
        <v>18</v>
      </c>
      <c r="N17">
        <v>1</v>
      </c>
      <c r="O17" t="s">
        <v>110</v>
      </c>
      <c r="P17">
        <v>16</v>
      </c>
      <c r="Q17">
        <v>3</v>
      </c>
      <c r="R17" t="s">
        <v>180</v>
      </c>
      <c r="S17" s="47"/>
      <c r="T17" t="s">
        <v>4</v>
      </c>
      <c r="U17" s="48">
        <f>+AVERAGE(U13:U16)</f>
        <v>0</v>
      </c>
      <c r="V17" t="s">
        <v>6</v>
      </c>
      <c r="W17" t="s">
        <v>242</v>
      </c>
    </row>
    <row r="18" spans="1:23" ht="15.75" x14ac:dyDescent="0.2">
      <c r="A18" t="s">
        <v>98</v>
      </c>
      <c r="B18" t="s">
        <v>99</v>
      </c>
      <c r="C18" t="s">
        <v>142</v>
      </c>
      <c r="D18" t="s">
        <v>146</v>
      </c>
      <c r="E18" s="42">
        <v>43043</v>
      </c>
      <c r="L18" t="s">
        <v>28</v>
      </c>
      <c r="N18">
        <v>1</v>
      </c>
      <c r="O18" t="s">
        <v>110</v>
      </c>
      <c r="P18">
        <v>17</v>
      </c>
      <c r="Q18">
        <v>4</v>
      </c>
      <c r="R18" t="s">
        <v>181</v>
      </c>
      <c r="S18" s="47" t="s">
        <v>69</v>
      </c>
      <c r="T18" t="s">
        <v>34</v>
      </c>
      <c r="U18" s="11">
        <v>0</v>
      </c>
    </row>
    <row r="19" spans="1:23" ht="15.75" x14ac:dyDescent="0.2">
      <c r="A19" t="s">
        <v>100</v>
      </c>
      <c r="B19" t="s">
        <v>101</v>
      </c>
      <c r="C19" t="s">
        <v>261</v>
      </c>
      <c r="D19" t="s">
        <v>100</v>
      </c>
      <c r="E19" s="42">
        <v>43043</v>
      </c>
      <c r="L19" t="s">
        <v>49</v>
      </c>
      <c r="N19">
        <v>1</v>
      </c>
      <c r="O19" t="s">
        <v>110</v>
      </c>
      <c r="P19">
        <v>18</v>
      </c>
      <c r="Q19">
        <v>4</v>
      </c>
      <c r="R19" t="s">
        <v>181</v>
      </c>
      <c r="S19" s="47"/>
      <c r="T19" t="s">
        <v>35</v>
      </c>
      <c r="U19" s="11">
        <v>0</v>
      </c>
    </row>
    <row r="20" spans="1:23" ht="15.75" x14ac:dyDescent="0.2">
      <c r="A20" t="s">
        <v>102</v>
      </c>
      <c r="B20" t="s">
        <v>103</v>
      </c>
      <c r="C20" t="s">
        <v>142</v>
      </c>
      <c r="D20" t="s">
        <v>143</v>
      </c>
      <c r="E20" s="42">
        <v>43043</v>
      </c>
      <c r="L20" t="s">
        <v>6</v>
      </c>
      <c r="N20">
        <v>1</v>
      </c>
      <c r="O20" t="s">
        <v>110</v>
      </c>
      <c r="P20">
        <v>19</v>
      </c>
      <c r="Q20">
        <v>4</v>
      </c>
      <c r="R20" t="s">
        <v>181</v>
      </c>
      <c r="S20" s="47"/>
      <c r="T20" t="s">
        <v>36</v>
      </c>
      <c r="U20" s="11">
        <v>0</v>
      </c>
    </row>
    <row r="21" spans="1:23" ht="15.75" x14ac:dyDescent="0.2">
      <c r="A21" t="s">
        <v>104</v>
      </c>
      <c r="B21" t="s">
        <v>105</v>
      </c>
      <c r="C21" t="s">
        <v>159</v>
      </c>
      <c r="D21" t="s">
        <v>146</v>
      </c>
      <c r="E21" s="42">
        <v>43043</v>
      </c>
      <c r="N21">
        <v>1</v>
      </c>
      <c r="O21" t="s">
        <v>110</v>
      </c>
      <c r="P21">
        <v>20</v>
      </c>
      <c r="Q21">
        <v>4</v>
      </c>
      <c r="R21" t="s">
        <v>181</v>
      </c>
      <c r="S21" s="47"/>
      <c r="T21" t="s">
        <v>4</v>
      </c>
      <c r="U21" s="48">
        <f>+AVERAGE(U18:U20)</f>
        <v>0</v>
      </c>
      <c r="V21" t="s">
        <v>69</v>
      </c>
      <c r="W21" t="s">
        <v>243</v>
      </c>
    </row>
    <row r="22" spans="1:23" ht="15.75" x14ac:dyDescent="0.2">
      <c r="A22" t="s">
        <v>266</v>
      </c>
      <c r="B22" t="s">
        <v>105</v>
      </c>
      <c r="C22" t="s">
        <v>144</v>
      </c>
      <c r="D22" t="s">
        <v>158</v>
      </c>
      <c r="E22" s="42">
        <v>43043</v>
      </c>
      <c r="N22">
        <v>1</v>
      </c>
      <c r="O22" t="s">
        <v>110</v>
      </c>
      <c r="P22">
        <v>21</v>
      </c>
      <c r="Q22">
        <v>5</v>
      </c>
      <c r="R22" t="s">
        <v>182</v>
      </c>
      <c r="S22" s="47" t="s">
        <v>44</v>
      </c>
      <c r="T22" t="s">
        <v>45</v>
      </c>
      <c r="U22" s="11">
        <v>0</v>
      </c>
    </row>
    <row r="23" spans="1:23" ht="15.75" x14ac:dyDescent="0.2">
      <c r="A23" t="s">
        <v>106</v>
      </c>
      <c r="B23" t="s">
        <v>107</v>
      </c>
      <c r="C23" t="s">
        <v>154</v>
      </c>
      <c r="D23" t="s">
        <v>152</v>
      </c>
      <c r="E23" s="42">
        <v>43043</v>
      </c>
      <c r="N23">
        <v>1</v>
      </c>
      <c r="O23" t="s">
        <v>110</v>
      </c>
      <c r="P23">
        <v>22</v>
      </c>
      <c r="Q23">
        <v>5</v>
      </c>
      <c r="R23" t="s">
        <v>182</v>
      </c>
      <c r="S23" s="47"/>
      <c r="T23" t="s">
        <v>46</v>
      </c>
      <c r="U23" s="11">
        <v>0</v>
      </c>
    </row>
    <row r="24" spans="1:23" ht="15.75" x14ac:dyDescent="0.2">
      <c r="A24" t="s">
        <v>271</v>
      </c>
      <c r="B24" t="s">
        <v>78</v>
      </c>
      <c r="C24" t="s">
        <v>145</v>
      </c>
      <c r="D24" t="s">
        <v>146</v>
      </c>
      <c r="E24" s="42">
        <v>43043</v>
      </c>
      <c r="N24">
        <v>1</v>
      </c>
      <c r="O24" t="s">
        <v>110</v>
      </c>
      <c r="P24">
        <v>23</v>
      </c>
      <c r="Q24">
        <v>5</v>
      </c>
      <c r="R24" t="s">
        <v>182</v>
      </c>
      <c r="S24" s="47"/>
      <c r="T24" t="s">
        <v>70</v>
      </c>
      <c r="U24" s="11">
        <v>0</v>
      </c>
    </row>
    <row r="25" spans="1:23" ht="15.75" x14ac:dyDescent="0.2">
      <c r="A25" t="s">
        <v>108</v>
      </c>
      <c r="B25" t="s">
        <v>264</v>
      </c>
      <c r="C25" t="s">
        <v>160</v>
      </c>
      <c r="D25" t="s">
        <v>275</v>
      </c>
      <c r="E25" s="42">
        <v>43043</v>
      </c>
      <c r="N25">
        <v>1</v>
      </c>
      <c r="O25" t="s">
        <v>110</v>
      </c>
      <c r="P25">
        <v>24</v>
      </c>
      <c r="Q25">
        <v>5</v>
      </c>
      <c r="R25" t="s">
        <v>182</v>
      </c>
      <c r="S25" s="47"/>
      <c r="T25" t="s">
        <v>4</v>
      </c>
      <c r="U25" s="48">
        <f>+AVERAGE(U22:U24)</f>
        <v>0</v>
      </c>
      <c r="V25" t="s">
        <v>44</v>
      </c>
      <c r="W25" t="s">
        <v>236</v>
      </c>
    </row>
    <row r="26" spans="1:23" ht="15.75" x14ac:dyDescent="0.2">
      <c r="A26" t="s">
        <v>108</v>
      </c>
      <c r="B26" t="s">
        <v>264</v>
      </c>
      <c r="C26" t="s">
        <v>160</v>
      </c>
      <c r="D26" t="s">
        <v>146</v>
      </c>
      <c r="E26" s="42">
        <v>43043</v>
      </c>
      <c r="N26">
        <v>1</v>
      </c>
      <c r="O26" t="s">
        <v>110</v>
      </c>
      <c r="P26">
        <v>25</v>
      </c>
      <c r="Q26">
        <v>6</v>
      </c>
      <c r="R26" t="s">
        <v>183</v>
      </c>
      <c r="S26" s="47" t="s">
        <v>33</v>
      </c>
      <c r="T26" t="s">
        <v>51</v>
      </c>
      <c r="U26" s="11">
        <v>0</v>
      </c>
    </row>
    <row r="27" spans="1:23" ht="15.75" x14ac:dyDescent="0.2">
      <c r="A27" t="s">
        <v>109</v>
      </c>
      <c r="B27" t="s">
        <v>110</v>
      </c>
      <c r="C27" t="s">
        <v>148</v>
      </c>
      <c r="D27" t="s">
        <v>161</v>
      </c>
      <c r="E27" s="42">
        <v>43043</v>
      </c>
      <c r="S27" s="47"/>
      <c r="U27" s="11"/>
    </row>
    <row r="28" spans="1:23" ht="15.75" x14ac:dyDescent="0.2">
      <c r="A28" t="s">
        <v>111</v>
      </c>
      <c r="B28" t="s">
        <v>112</v>
      </c>
      <c r="C28" t="s">
        <v>151</v>
      </c>
      <c r="D28" t="s">
        <v>146</v>
      </c>
      <c r="E28" s="42">
        <v>43043</v>
      </c>
      <c r="N28">
        <v>1</v>
      </c>
      <c r="O28" t="s">
        <v>110</v>
      </c>
      <c r="P28">
        <v>26</v>
      </c>
      <c r="Q28">
        <v>6</v>
      </c>
      <c r="R28" t="s">
        <v>183</v>
      </c>
      <c r="S28" s="47"/>
      <c r="T28" t="s">
        <v>48</v>
      </c>
      <c r="U28" s="11">
        <v>0</v>
      </c>
    </row>
    <row r="29" spans="1:23" ht="15.75" x14ac:dyDescent="0.2">
      <c r="A29" t="s">
        <v>113</v>
      </c>
      <c r="B29" t="s">
        <v>77</v>
      </c>
      <c r="C29" t="s">
        <v>144</v>
      </c>
      <c r="D29" t="s">
        <v>278</v>
      </c>
      <c r="E29" s="42">
        <v>43043</v>
      </c>
      <c r="N29">
        <v>1</v>
      </c>
      <c r="O29" t="s">
        <v>110</v>
      </c>
      <c r="P29">
        <v>27</v>
      </c>
      <c r="Q29">
        <v>6</v>
      </c>
      <c r="R29" t="s">
        <v>183</v>
      </c>
      <c r="S29" s="47"/>
      <c r="T29" t="s">
        <v>43</v>
      </c>
      <c r="U29" s="11">
        <v>0</v>
      </c>
    </row>
    <row r="30" spans="1:23" ht="15.75" x14ac:dyDescent="0.2">
      <c r="A30" t="s">
        <v>114</v>
      </c>
      <c r="B30" t="s">
        <v>115</v>
      </c>
      <c r="C30" t="s">
        <v>148</v>
      </c>
      <c r="D30" t="s">
        <v>162</v>
      </c>
      <c r="E30" s="42">
        <v>43043</v>
      </c>
      <c r="N30">
        <v>1</v>
      </c>
      <c r="O30" t="s">
        <v>110</v>
      </c>
      <c r="P30">
        <v>28</v>
      </c>
      <c r="Q30">
        <v>6</v>
      </c>
      <c r="R30" t="s">
        <v>183</v>
      </c>
      <c r="S30" s="47"/>
      <c r="T30" t="s">
        <v>4</v>
      </c>
      <c r="U30" s="48">
        <f>+AVERAGE(U26:U29)</f>
        <v>0</v>
      </c>
      <c r="V30" t="s">
        <v>33</v>
      </c>
      <c r="W30" t="s">
        <v>237</v>
      </c>
    </row>
    <row r="31" spans="1:23" ht="15.75" x14ac:dyDescent="0.2">
      <c r="A31" t="s">
        <v>116</v>
      </c>
      <c r="B31" t="s">
        <v>117</v>
      </c>
      <c r="C31" t="s">
        <v>144</v>
      </c>
      <c r="D31" t="s">
        <v>158</v>
      </c>
      <c r="E31" s="42">
        <v>43043</v>
      </c>
      <c r="N31">
        <v>1</v>
      </c>
      <c r="O31" t="s">
        <v>110</v>
      </c>
      <c r="P31">
        <v>29</v>
      </c>
      <c r="Q31">
        <v>7</v>
      </c>
      <c r="R31" t="s">
        <v>184</v>
      </c>
      <c r="S31" s="47" t="s">
        <v>49</v>
      </c>
      <c r="T31" t="s">
        <v>11</v>
      </c>
      <c r="U31" s="11">
        <v>0</v>
      </c>
    </row>
    <row r="32" spans="1:23" ht="15.75" x14ac:dyDescent="0.2">
      <c r="A32" t="s">
        <v>118</v>
      </c>
      <c r="B32" t="s">
        <v>163</v>
      </c>
      <c r="C32" t="s">
        <v>151</v>
      </c>
      <c r="D32" t="s">
        <v>152</v>
      </c>
      <c r="E32" s="42">
        <v>43043</v>
      </c>
      <c r="N32">
        <v>1</v>
      </c>
      <c r="O32" t="s">
        <v>110</v>
      </c>
      <c r="P32">
        <v>30</v>
      </c>
      <c r="Q32">
        <v>7</v>
      </c>
      <c r="R32" t="s">
        <v>184</v>
      </c>
      <c r="S32" s="47"/>
      <c r="T32" t="s">
        <v>12</v>
      </c>
      <c r="U32" s="11">
        <v>0</v>
      </c>
    </row>
    <row r="33" spans="1:23" ht="15.75" x14ac:dyDescent="0.2">
      <c r="A33" t="s">
        <v>119</v>
      </c>
      <c r="B33" t="s">
        <v>120</v>
      </c>
      <c r="C33" t="s">
        <v>142</v>
      </c>
      <c r="D33" t="s">
        <v>161</v>
      </c>
      <c r="E33" s="42">
        <v>43043</v>
      </c>
      <c r="N33">
        <v>1</v>
      </c>
      <c r="O33" t="s">
        <v>110</v>
      </c>
      <c r="P33">
        <v>31</v>
      </c>
      <c r="Q33">
        <v>7</v>
      </c>
      <c r="R33" t="s">
        <v>184</v>
      </c>
      <c r="S33" s="47"/>
      <c r="T33" t="s">
        <v>52</v>
      </c>
      <c r="U33" s="11">
        <v>0</v>
      </c>
    </row>
    <row r="34" spans="1:23" ht="15.75" x14ac:dyDescent="0.2">
      <c r="A34" t="s">
        <v>121</v>
      </c>
      <c r="B34" t="s">
        <v>122</v>
      </c>
      <c r="C34" t="s">
        <v>151</v>
      </c>
      <c r="D34" t="s">
        <v>152</v>
      </c>
      <c r="E34" s="42">
        <v>43043</v>
      </c>
      <c r="N34">
        <v>1</v>
      </c>
      <c r="O34" t="s">
        <v>110</v>
      </c>
      <c r="P34">
        <v>32</v>
      </c>
      <c r="Q34">
        <v>7</v>
      </c>
      <c r="R34" t="s">
        <v>184</v>
      </c>
      <c r="S34" s="47"/>
      <c r="T34" t="s">
        <v>4</v>
      </c>
      <c r="U34" s="48">
        <f>+AVERAGE(U31:U33)</f>
        <v>0</v>
      </c>
      <c r="V34" t="s">
        <v>49</v>
      </c>
      <c r="W34" t="s">
        <v>239</v>
      </c>
    </row>
    <row r="35" spans="1:23" ht="15.75" x14ac:dyDescent="0.2">
      <c r="A35" t="s">
        <v>123</v>
      </c>
      <c r="B35" t="s">
        <v>124</v>
      </c>
      <c r="C35" t="s">
        <v>159</v>
      </c>
      <c r="D35" t="s">
        <v>164</v>
      </c>
      <c r="E35" s="42">
        <v>43043</v>
      </c>
      <c r="N35">
        <v>2</v>
      </c>
      <c r="O35" t="s">
        <v>172</v>
      </c>
      <c r="P35">
        <v>1</v>
      </c>
      <c r="R35" t="s">
        <v>185</v>
      </c>
      <c r="S35" t="s">
        <v>18</v>
      </c>
      <c r="T35" t="s">
        <v>74</v>
      </c>
      <c r="U35" s="11">
        <v>0</v>
      </c>
    </row>
    <row r="36" spans="1:23" ht="15.75" x14ac:dyDescent="0.2">
      <c r="A36" t="s">
        <v>267</v>
      </c>
      <c r="B36" t="s">
        <v>124</v>
      </c>
      <c r="C36" t="s">
        <v>144</v>
      </c>
      <c r="D36" t="s">
        <v>158</v>
      </c>
      <c r="E36" s="42">
        <v>43043</v>
      </c>
      <c r="N36">
        <v>2</v>
      </c>
      <c r="O36" t="s">
        <v>172</v>
      </c>
      <c r="P36">
        <v>2</v>
      </c>
      <c r="R36" t="s">
        <v>185</v>
      </c>
      <c r="T36" t="s">
        <v>64</v>
      </c>
      <c r="U36" s="11">
        <v>0</v>
      </c>
    </row>
    <row r="37" spans="1:23" ht="15.75" x14ac:dyDescent="0.2">
      <c r="A37" t="s">
        <v>125</v>
      </c>
      <c r="B37" t="s">
        <v>126</v>
      </c>
      <c r="C37" t="s">
        <v>151</v>
      </c>
      <c r="D37" t="s">
        <v>81</v>
      </c>
      <c r="E37" s="42">
        <v>43043</v>
      </c>
      <c r="N37">
        <v>2</v>
      </c>
      <c r="O37" t="s">
        <v>172</v>
      </c>
      <c r="P37">
        <v>3</v>
      </c>
      <c r="R37" t="s">
        <v>185</v>
      </c>
      <c r="T37" t="s">
        <v>65</v>
      </c>
      <c r="U37" s="11">
        <v>0</v>
      </c>
    </row>
    <row r="38" spans="1:23" ht="15.75" x14ac:dyDescent="0.2">
      <c r="A38" t="s">
        <v>268</v>
      </c>
      <c r="B38" t="s">
        <v>126</v>
      </c>
      <c r="C38" t="s">
        <v>151</v>
      </c>
      <c r="D38" t="s">
        <v>152</v>
      </c>
      <c r="E38" s="42">
        <v>43043</v>
      </c>
      <c r="N38">
        <v>2</v>
      </c>
      <c r="O38" t="s">
        <v>172</v>
      </c>
      <c r="P38">
        <v>4</v>
      </c>
      <c r="R38" t="s">
        <v>185</v>
      </c>
      <c r="T38" t="s">
        <v>4</v>
      </c>
      <c r="U38" s="48">
        <f>+AVERAGE(U35:U37)</f>
        <v>0</v>
      </c>
      <c r="V38" t="s">
        <v>18</v>
      </c>
      <c r="W38" t="s">
        <v>232</v>
      </c>
    </row>
    <row r="39" spans="1:23" ht="15.75" x14ac:dyDescent="0.2">
      <c r="A39" t="s">
        <v>272</v>
      </c>
      <c r="B39" t="s">
        <v>259</v>
      </c>
      <c r="C39" t="s">
        <v>148</v>
      </c>
      <c r="D39" t="s">
        <v>79</v>
      </c>
      <c r="E39" s="42">
        <v>43043</v>
      </c>
      <c r="N39">
        <v>2</v>
      </c>
      <c r="O39" t="s">
        <v>172</v>
      </c>
      <c r="P39">
        <v>5</v>
      </c>
      <c r="R39" t="s">
        <v>186</v>
      </c>
      <c r="S39" t="s">
        <v>19</v>
      </c>
      <c r="T39" t="s">
        <v>67</v>
      </c>
      <c r="U39" s="11">
        <v>0</v>
      </c>
    </row>
    <row r="40" spans="1:23" ht="15.75" x14ac:dyDescent="0.2">
      <c r="A40" t="s">
        <v>127</v>
      </c>
      <c r="B40" t="s">
        <v>128</v>
      </c>
      <c r="C40" t="s">
        <v>148</v>
      </c>
      <c r="D40" t="s">
        <v>152</v>
      </c>
      <c r="E40" s="42">
        <v>43043</v>
      </c>
      <c r="N40">
        <v>2</v>
      </c>
      <c r="O40" t="s">
        <v>172</v>
      </c>
      <c r="P40">
        <v>6</v>
      </c>
      <c r="R40" t="s">
        <v>186</v>
      </c>
      <c r="T40" t="s">
        <v>5</v>
      </c>
      <c r="U40" s="11">
        <v>0</v>
      </c>
    </row>
    <row r="41" spans="1:23" ht="15.75" x14ac:dyDescent="0.2">
      <c r="A41" t="s">
        <v>273</v>
      </c>
      <c r="B41" t="s">
        <v>129</v>
      </c>
      <c r="C41" t="s">
        <v>142</v>
      </c>
      <c r="D41" t="s">
        <v>143</v>
      </c>
      <c r="E41" s="42">
        <v>43043</v>
      </c>
      <c r="N41">
        <v>2</v>
      </c>
      <c r="O41" t="s">
        <v>172</v>
      </c>
      <c r="P41">
        <v>7</v>
      </c>
      <c r="R41" t="s">
        <v>186</v>
      </c>
      <c r="T41" t="s">
        <v>54</v>
      </c>
      <c r="U41" s="11">
        <v>0</v>
      </c>
    </row>
    <row r="42" spans="1:23" ht="15.75" x14ac:dyDescent="0.2">
      <c r="A42" t="s">
        <v>130</v>
      </c>
      <c r="B42" t="s">
        <v>131</v>
      </c>
      <c r="C42" t="s">
        <v>262</v>
      </c>
      <c r="D42" t="s">
        <v>130</v>
      </c>
      <c r="E42" s="42">
        <v>43043</v>
      </c>
      <c r="N42">
        <v>2</v>
      </c>
      <c r="O42" t="s">
        <v>172</v>
      </c>
      <c r="P42">
        <v>8</v>
      </c>
      <c r="R42" t="s">
        <v>186</v>
      </c>
      <c r="T42" t="s">
        <v>63</v>
      </c>
      <c r="U42" s="11">
        <v>0</v>
      </c>
    </row>
    <row r="43" spans="1:23" ht="15.75" x14ac:dyDescent="0.2">
      <c r="A43" t="s">
        <v>132</v>
      </c>
      <c r="B43" t="s">
        <v>110</v>
      </c>
      <c r="C43" t="s">
        <v>148</v>
      </c>
      <c r="D43" t="s">
        <v>161</v>
      </c>
      <c r="E43" s="42">
        <v>43043</v>
      </c>
      <c r="N43">
        <v>2</v>
      </c>
      <c r="O43" t="s">
        <v>172</v>
      </c>
      <c r="P43">
        <v>9</v>
      </c>
      <c r="R43" t="s">
        <v>186</v>
      </c>
      <c r="T43" t="s">
        <v>62</v>
      </c>
      <c r="U43" s="11">
        <v>0</v>
      </c>
    </row>
    <row r="44" spans="1:23" ht="15.75" x14ac:dyDescent="0.2">
      <c r="A44" t="s">
        <v>133</v>
      </c>
      <c r="B44" t="s">
        <v>110</v>
      </c>
      <c r="C44" t="s">
        <v>148</v>
      </c>
      <c r="D44" t="s">
        <v>143</v>
      </c>
      <c r="E44" s="42">
        <v>43043</v>
      </c>
      <c r="N44">
        <v>2</v>
      </c>
      <c r="O44" t="s">
        <v>172</v>
      </c>
      <c r="P44">
        <v>10</v>
      </c>
      <c r="R44" t="s">
        <v>186</v>
      </c>
      <c r="T44" t="s">
        <v>4</v>
      </c>
      <c r="U44" s="48">
        <f>+AVERAGE(U39:U43)</f>
        <v>0</v>
      </c>
      <c r="V44" t="s">
        <v>19</v>
      </c>
      <c r="W44" t="s">
        <v>233</v>
      </c>
    </row>
    <row r="45" spans="1:23" ht="15.75" x14ac:dyDescent="0.2">
      <c r="A45" t="s">
        <v>134</v>
      </c>
      <c r="B45" t="s">
        <v>135</v>
      </c>
      <c r="C45" t="s">
        <v>148</v>
      </c>
      <c r="D45" t="s">
        <v>146</v>
      </c>
      <c r="E45" s="42">
        <v>43043</v>
      </c>
      <c r="N45">
        <v>2</v>
      </c>
      <c r="O45" t="s">
        <v>172</v>
      </c>
      <c r="P45">
        <v>11</v>
      </c>
      <c r="R45" t="s">
        <v>187</v>
      </c>
      <c r="S45" t="s">
        <v>28</v>
      </c>
      <c r="T45" t="s">
        <v>29</v>
      </c>
      <c r="U45" s="11">
        <v>0</v>
      </c>
    </row>
    <row r="46" spans="1:23" ht="15.75" x14ac:dyDescent="0.2">
      <c r="A46" t="s">
        <v>276</v>
      </c>
      <c r="B46" t="s">
        <v>165</v>
      </c>
      <c r="C46" t="s">
        <v>151</v>
      </c>
      <c r="D46" t="s">
        <v>152</v>
      </c>
      <c r="E46" s="42">
        <v>43043</v>
      </c>
      <c r="N46">
        <v>2</v>
      </c>
      <c r="O46" t="s">
        <v>172</v>
      </c>
      <c r="P46">
        <v>12</v>
      </c>
      <c r="R46" t="s">
        <v>187</v>
      </c>
      <c r="T46" t="s">
        <v>30</v>
      </c>
      <c r="U46" s="11">
        <v>0</v>
      </c>
    </row>
    <row r="47" spans="1:23" ht="15.75" x14ac:dyDescent="0.2">
      <c r="A47" t="s">
        <v>277</v>
      </c>
      <c r="B47" t="s">
        <v>224</v>
      </c>
      <c r="C47" t="s">
        <v>157</v>
      </c>
      <c r="D47" t="s">
        <v>146</v>
      </c>
      <c r="E47" s="42">
        <v>43043</v>
      </c>
      <c r="N47">
        <v>2</v>
      </c>
      <c r="O47" t="s">
        <v>172</v>
      </c>
      <c r="P47">
        <v>13</v>
      </c>
      <c r="R47" t="s">
        <v>187</v>
      </c>
      <c r="T47" t="s">
        <v>73</v>
      </c>
      <c r="U47" s="11">
        <v>0</v>
      </c>
    </row>
    <row r="48" spans="1:23" ht="15.75" x14ac:dyDescent="0.2">
      <c r="A48" t="s">
        <v>257</v>
      </c>
      <c r="B48" t="s">
        <v>258</v>
      </c>
      <c r="C48" t="s">
        <v>145</v>
      </c>
      <c r="D48" t="s">
        <v>271</v>
      </c>
      <c r="E48" s="42">
        <v>43043</v>
      </c>
      <c r="N48">
        <v>2</v>
      </c>
      <c r="O48" t="s">
        <v>172</v>
      </c>
      <c r="P48">
        <v>14</v>
      </c>
      <c r="R48" t="s">
        <v>187</v>
      </c>
      <c r="T48" t="s">
        <v>72</v>
      </c>
      <c r="U48" s="11">
        <v>0</v>
      </c>
    </row>
    <row r="49" spans="1:23" ht="15.75" x14ac:dyDescent="0.2">
      <c r="A49" t="s">
        <v>279</v>
      </c>
      <c r="B49" t="s">
        <v>258</v>
      </c>
      <c r="C49" t="s">
        <v>145</v>
      </c>
      <c r="D49" t="s">
        <v>143</v>
      </c>
      <c r="E49" s="42">
        <v>43043</v>
      </c>
      <c r="N49">
        <v>2</v>
      </c>
      <c r="O49" t="s">
        <v>172</v>
      </c>
      <c r="P49">
        <v>15</v>
      </c>
      <c r="R49" t="s">
        <v>187</v>
      </c>
      <c r="T49" t="s">
        <v>4</v>
      </c>
      <c r="U49" s="48">
        <f>+AVERAGE(U45:U48)</f>
        <v>0</v>
      </c>
      <c r="V49" t="s">
        <v>28</v>
      </c>
      <c r="W49" t="s">
        <v>234</v>
      </c>
    </row>
    <row r="50" spans="1:23" ht="15.75" x14ac:dyDescent="0.2">
      <c r="A50" t="s">
        <v>136</v>
      </c>
      <c r="B50" t="s">
        <v>137</v>
      </c>
      <c r="C50" t="s">
        <v>142</v>
      </c>
      <c r="D50" t="s">
        <v>143</v>
      </c>
      <c r="E50" s="42">
        <v>43043</v>
      </c>
      <c r="N50">
        <v>2</v>
      </c>
      <c r="O50" t="s">
        <v>172</v>
      </c>
      <c r="P50">
        <v>16</v>
      </c>
      <c r="R50" t="s">
        <v>188</v>
      </c>
      <c r="S50" t="s">
        <v>6</v>
      </c>
      <c r="T50" t="s">
        <v>7</v>
      </c>
      <c r="U50" s="11">
        <v>0</v>
      </c>
    </row>
    <row r="51" spans="1:23" ht="15.75" x14ac:dyDescent="0.2">
      <c r="A51" t="s">
        <v>280</v>
      </c>
      <c r="B51" t="s">
        <v>110</v>
      </c>
      <c r="C51" t="s">
        <v>148</v>
      </c>
      <c r="D51" t="s">
        <v>161</v>
      </c>
      <c r="E51" s="42">
        <v>43043</v>
      </c>
      <c r="U51" s="11"/>
    </row>
    <row r="52" spans="1:23" ht="15.75" x14ac:dyDescent="0.2">
      <c r="A52" t="s">
        <v>270</v>
      </c>
      <c r="B52" t="s">
        <v>270</v>
      </c>
      <c r="C52" t="s">
        <v>270</v>
      </c>
      <c r="D52" t="s">
        <v>270</v>
      </c>
      <c r="E52" s="42">
        <v>43043</v>
      </c>
      <c r="N52">
        <v>2</v>
      </c>
      <c r="O52" t="s">
        <v>172</v>
      </c>
      <c r="P52">
        <v>17</v>
      </c>
      <c r="R52" t="s">
        <v>188</v>
      </c>
      <c r="T52" t="s">
        <v>8</v>
      </c>
      <c r="U52" s="11">
        <v>0</v>
      </c>
    </row>
    <row r="53" spans="1:23" ht="15.75" x14ac:dyDescent="0.2">
      <c r="N53">
        <v>2</v>
      </c>
      <c r="O53" t="s">
        <v>172</v>
      </c>
      <c r="P53">
        <v>18</v>
      </c>
      <c r="R53" t="s">
        <v>188</v>
      </c>
      <c r="T53" t="s">
        <v>9</v>
      </c>
      <c r="U53" s="11">
        <v>0</v>
      </c>
    </row>
    <row r="54" spans="1:23" ht="15.75" x14ac:dyDescent="0.2">
      <c r="N54">
        <v>2</v>
      </c>
      <c r="O54" t="s">
        <v>172</v>
      </c>
      <c r="P54">
        <v>19</v>
      </c>
      <c r="R54" t="s">
        <v>188</v>
      </c>
      <c r="T54" t="s">
        <v>10</v>
      </c>
      <c r="U54" s="11">
        <v>0</v>
      </c>
    </row>
    <row r="55" spans="1:23" ht="15.75" x14ac:dyDescent="0.2">
      <c r="N55">
        <v>2</v>
      </c>
      <c r="O55" t="s">
        <v>172</v>
      </c>
      <c r="P55">
        <v>20</v>
      </c>
      <c r="R55" t="s">
        <v>188</v>
      </c>
      <c r="T55" t="s">
        <v>4</v>
      </c>
      <c r="U55" s="48">
        <f>+AVERAGE(U50:U54)</f>
        <v>0</v>
      </c>
      <c r="V55" t="s">
        <v>6</v>
      </c>
      <c r="W55" t="s">
        <v>235</v>
      </c>
    </row>
    <row r="56" spans="1:23" ht="15.75" x14ac:dyDescent="0.2">
      <c r="N56">
        <v>2</v>
      </c>
      <c r="O56" t="s">
        <v>172</v>
      </c>
      <c r="P56">
        <v>21</v>
      </c>
      <c r="R56" t="s">
        <v>182</v>
      </c>
      <c r="S56" t="s">
        <v>69</v>
      </c>
      <c r="T56" t="s">
        <v>34</v>
      </c>
      <c r="U56" s="11">
        <v>0</v>
      </c>
    </row>
    <row r="57" spans="1:23" ht="15.75" x14ac:dyDescent="0.2">
      <c r="N57">
        <v>2</v>
      </c>
      <c r="O57" t="s">
        <v>172</v>
      </c>
      <c r="P57">
        <v>22</v>
      </c>
      <c r="R57" t="s">
        <v>182</v>
      </c>
      <c r="T57" t="s">
        <v>35</v>
      </c>
      <c r="U57" s="11">
        <v>0</v>
      </c>
    </row>
    <row r="58" spans="1:23" ht="15.75" x14ac:dyDescent="0.2">
      <c r="N58">
        <v>2</v>
      </c>
      <c r="O58" t="s">
        <v>172</v>
      </c>
      <c r="P58">
        <v>23</v>
      </c>
      <c r="R58" t="s">
        <v>182</v>
      </c>
      <c r="T58" t="s">
        <v>36</v>
      </c>
      <c r="U58" s="11">
        <v>0</v>
      </c>
    </row>
    <row r="59" spans="1:23" ht="15.75" x14ac:dyDescent="0.2">
      <c r="N59">
        <v>2</v>
      </c>
      <c r="O59" t="s">
        <v>172</v>
      </c>
      <c r="P59">
        <v>24</v>
      </c>
      <c r="R59" t="s">
        <v>182</v>
      </c>
      <c r="T59" t="s">
        <v>4</v>
      </c>
      <c r="U59" s="48">
        <f>+AVERAGE(U56:U58)</f>
        <v>0</v>
      </c>
      <c r="V59" t="s">
        <v>69</v>
      </c>
      <c r="W59" t="s">
        <v>236</v>
      </c>
    </row>
    <row r="60" spans="1:23" ht="15.75" x14ac:dyDescent="0.2">
      <c r="N60">
        <v>2</v>
      </c>
      <c r="O60" t="s">
        <v>172</v>
      </c>
      <c r="P60">
        <v>25</v>
      </c>
      <c r="R60" t="s">
        <v>183</v>
      </c>
      <c r="S60" t="s">
        <v>44</v>
      </c>
      <c r="T60" t="s">
        <v>45</v>
      </c>
      <c r="U60" s="11">
        <v>0</v>
      </c>
    </row>
    <row r="61" spans="1:23" ht="15.75" x14ac:dyDescent="0.2">
      <c r="N61">
        <v>2</v>
      </c>
      <c r="O61" t="s">
        <v>172</v>
      </c>
      <c r="P61">
        <v>26</v>
      </c>
      <c r="R61" t="s">
        <v>183</v>
      </c>
      <c r="T61" t="s">
        <v>46</v>
      </c>
      <c r="U61" s="11">
        <v>0</v>
      </c>
    </row>
    <row r="62" spans="1:23" ht="15.75" x14ac:dyDescent="0.2">
      <c r="A62" s="158"/>
      <c r="B62" s="158"/>
      <c r="N62">
        <v>2</v>
      </c>
      <c r="O62" t="s">
        <v>172</v>
      </c>
      <c r="P62">
        <v>27</v>
      </c>
      <c r="R62" t="s">
        <v>183</v>
      </c>
      <c r="T62" t="s">
        <v>53</v>
      </c>
      <c r="U62" s="11">
        <v>0</v>
      </c>
    </row>
    <row r="63" spans="1:23" ht="15.75" x14ac:dyDescent="0.2">
      <c r="A63" s="158"/>
      <c r="B63" s="158"/>
      <c r="N63">
        <v>2</v>
      </c>
      <c r="O63" t="s">
        <v>172</v>
      </c>
      <c r="P63">
        <v>28</v>
      </c>
      <c r="R63" t="s">
        <v>183</v>
      </c>
      <c r="T63" t="s">
        <v>4</v>
      </c>
      <c r="U63" s="48">
        <f>+AVERAGE(U60:U62)</f>
        <v>0</v>
      </c>
      <c r="V63" t="s">
        <v>44</v>
      </c>
      <c r="W63" t="s">
        <v>237</v>
      </c>
    </row>
    <row r="64" spans="1:23" ht="15.75" x14ac:dyDescent="0.2">
      <c r="N64">
        <v>2</v>
      </c>
      <c r="O64" t="s">
        <v>172</v>
      </c>
      <c r="P64">
        <v>29</v>
      </c>
      <c r="R64" t="s">
        <v>184</v>
      </c>
      <c r="S64" t="s">
        <v>33</v>
      </c>
      <c r="T64" t="s">
        <v>51</v>
      </c>
      <c r="U64" s="11">
        <v>0</v>
      </c>
    </row>
    <row r="65" spans="14:23" ht="15.75" x14ac:dyDescent="0.2">
      <c r="N65">
        <v>2</v>
      </c>
      <c r="O65" t="s">
        <v>172</v>
      </c>
      <c r="P65">
        <v>30</v>
      </c>
      <c r="R65" t="s">
        <v>184</v>
      </c>
      <c r="T65" t="s">
        <v>48</v>
      </c>
      <c r="U65" s="11">
        <v>0</v>
      </c>
    </row>
    <row r="66" spans="14:23" ht="15.75" x14ac:dyDescent="0.2">
      <c r="N66">
        <v>2</v>
      </c>
      <c r="O66" t="s">
        <v>172</v>
      </c>
      <c r="P66">
        <v>31</v>
      </c>
      <c r="R66" t="s">
        <v>184</v>
      </c>
      <c r="T66" t="s">
        <v>43</v>
      </c>
      <c r="U66" s="11">
        <v>0</v>
      </c>
    </row>
    <row r="67" spans="14:23" ht="15.75" x14ac:dyDescent="0.2">
      <c r="N67">
        <v>2</v>
      </c>
      <c r="O67" t="s">
        <v>172</v>
      </c>
      <c r="P67">
        <v>32</v>
      </c>
      <c r="R67" t="s">
        <v>184</v>
      </c>
      <c r="T67" t="s">
        <v>4</v>
      </c>
      <c r="U67" s="48">
        <f>+AVERAGE(U64:U66)</f>
        <v>0</v>
      </c>
      <c r="V67" t="s">
        <v>33</v>
      </c>
      <c r="W67" t="s">
        <v>239</v>
      </c>
    </row>
    <row r="68" spans="14:23" ht="15.75" x14ac:dyDescent="0.2">
      <c r="N68">
        <v>2</v>
      </c>
      <c r="O68" t="s">
        <v>172</v>
      </c>
      <c r="P68">
        <v>33</v>
      </c>
      <c r="R68" t="s">
        <v>231</v>
      </c>
      <c r="S68" t="s">
        <v>49</v>
      </c>
      <c r="T68" t="s">
        <v>37</v>
      </c>
      <c r="U68" s="11">
        <v>0</v>
      </c>
    </row>
    <row r="69" spans="14:23" ht="15.75" x14ac:dyDescent="0.2">
      <c r="N69">
        <v>2</v>
      </c>
      <c r="O69" t="s">
        <v>172</v>
      </c>
      <c r="P69">
        <v>34</v>
      </c>
      <c r="R69" t="s">
        <v>231</v>
      </c>
      <c r="T69" t="s">
        <v>12</v>
      </c>
      <c r="U69" s="11">
        <v>0</v>
      </c>
    </row>
    <row r="70" spans="14:23" ht="15.75" x14ac:dyDescent="0.2">
      <c r="N70">
        <v>2</v>
      </c>
      <c r="O70" t="s">
        <v>172</v>
      </c>
      <c r="P70">
        <v>35</v>
      </c>
      <c r="R70" t="s">
        <v>231</v>
      </c>
      <c r="T70" t="s">
        <v>52</v>
      </c>
      <c r="U70" s="11">
        <v>0</v>
      </c>
    </row>
    <row r="71" spans="14:23" ht="15.75" x14ac:dyDescent="0.2">
      <c r="N71">
        <v>2</v>
      </c>
      <c r="O71" t="s">
        <v>172</v>
      </c>
      <c r="P71">
        <v>36</v>
      </c>
      <c r="R71" t="s">
        <v>231</v>
      </c>
      <c r="T71" t="s">
        <v>4</v>
      </c>
      <c r="U71" s="48">
        <f>+AVERAGE(U68:U70)</f>
        <v>0</v>
      </c>
      <c r="V71" t="s">
        <v>49</v>
      </c>
      <c r="W71" t="s">
        <v>238</v>
      </c>
    </row>
    <row r="72" spans="14:23" ht="15.75" x14ac:dyDescent="0.2">
      <c r="N72">
        <v>3</v>
      </c>
      <c r="O72" t="s">
        <v>173</v>
      </c>
      <c r="P72">
        <v>1</v>
      </c>
      <c r="R72" t="s">
        <v>185</v>
      </c>
      <c r="S72" t="s">
        <v>18</v>
      </c>
      <c r="T72" t="s">
        <v>74</v>
      </c>
      <c r="U72" s="11">
        <v>0</v>
      </c>
    </row>
    <row r="73" spans="14:23" ht="15.75" x14ac:dyDescent="0.2">
      <c r="N73">
        <v>3</v>
      </c>
      <c r="O73" t="s">
        <v>173</v>
      </c>
      <c r="P73">
        <v>2</v>
      </c>
      <c r="R73" t="s">
        <v>185</v>
      </c>
      <c r="T73" t="s">
        <v>64</v>
      </c>
      <c r="U73" s="11">
        <v>0</v>
      </c>
    </row>
    <row r="74" spans="14:23" ht="15.75" x14ac:dyDescent="0.2">
      <c r="N74">
        <v>3</v>
      </c>
      <c r="O74" t="s">
        <v>173</v>
      </c>
      <c r="P74">
        <v>3</v>
      </c>
      <c r="R74" t="s">
        <v>185</v>
      </c>
      <c r="T74" t="s">
        <v>65</v>
      </c>
      <c r="U74" s="11">
        <v>0</v>
      </c>
    </row>
    <row r="75" spans="14:23" ht="15.75" x14ac:dyDescent="0.2">
      <c r="N75">
        <v>3</v>
      </c>
      <c r="O75" t="s">
        <v>173</v>
      </c>
      <c r="P75">
        <v>4</v>
      </c>
      <c r="R75" t="s">
        <v>185</v>
      </c>
      <c r="T75" t="s">
        <v>4</v>
      </c>
      <c r="U75" s="48">
        <f>+AVERAGE(U72:U74)</f>
        <v>0</v>
      </c>
      <c r="V75" t="s">
        <v>18</v>
      </c>
      <c r="W75" t="s">
        <v>232</v>
      </c>
    </row>
    <row r="76" spans="14:23" ht="15.75" x14ac:dyDescent="0.2">
      <c r="N76">
        <v>3</v>
      </c>
      <c r="O76" t="s">
        <v>173</v>
      </c>
      <c r="P76">
        <v>5</v>
      </c>
      <c r="R76" t="s">
        <v>186</v>
      </c>
      <c r="S76" t="s">
        <v>19</v>
      </c>
      <c r="T76" t="s">
        <v>67</v>
      </c>
      <c r="U76" s="11">
        <v>0</v>
      </c>
    </row>
    <row r="77" spans="14:23" ht="15.75" x14ac:dyDescent="0.2">
      <c r="N77">
        <v>3</v>
      </c>
      <c r="O77" t="s">
        <v>173</v>
      </c>
      <c r="P77">
        <v>6</v>
      </c>
      <c r="R77" t="s">
        <v>186</v>
      </c>
      <c r="T77" t="s">
        <v>5</v>
      </c>
      <c r="U77" s="11">
        <v>0</v>
      </c>
    </row>
    <row r="78" spans="14:23" ht="15.75" x14ac:dyDescent="0.2">
      <c r="N78">
        <v>3</v>
      </c>
      <c r="O78" t="s">
        <v>173</v>
      </c>
      <c r="P78">
        <v>7</v>
      </c>
      <c r="R78" t="s">
        <v>186</v>
      </c>
      <c r="T78" t="s">
        <v>54</v>
      </c>
      <c r="U78" s="11">
        <v>0</v>
      </c>
    </row>
    <row r="79" spans="14:23" ht="15.75" x14ac:dyDescent="0.2">
      <c r="N79">
        <v>3</v>
      </c>
      <c r="O79" t="s">
        <v>173</v>
      </c>
      <c r="P79">
        <v>8</v>
      </c>
      <c r="R79" t="s">
        <v>186</v>
      </c>
      <c r="T79" t="s">
        <v>63</v>
      </c>
      <c r="U79" s="11">
        <v>0</v>
      </c>
    </row>
    <row r="80" spans="14:23" ht="15.75" x14ac:dyDescent="0.2">
      <c r="N80">
        <v>3</v>
      </c>
      <c r="O80" t="s">
        <v>173</v>
      </c>
      <c r="P80">
        <v>9</v>
      </c>
      <c r="R80" t="s">
        <v>186</v>
      </c>
      <c r="T80" t="s">
        <v>62</v>
      </c>
      <c r="U80" s="11">
        <v>0</v>
      </c>
    </row>
    <row r="81" spans="14:23" ht="15.75" x14ac:dyDescent="0.2">
      <c r="N81">
        <v>3</v>
      </c>
      <c r="O81" t="s">
        <v>173</v>
      </c>
      <c r="P81">
        <v>10</v>
      </c>
      <c r="R81" t="s">
        <v>186</v>
      </c>
      <c r="T81" t="s">
        <v>4</v>
      </c>
      <c r="U81" s="48">
        <f>+AVERAGE(U78:U80)</f>
        <v>0</v>
      </c>
      <c r="V81" t="s">
        <v>19</v>
      </c>
      <c r="W81" t="s">
        <v>233</v>
      </c>
    </row>
    <row r="82" spans="14:23" ht="15.75" x14ac:dyDescent="0.2">
      <c r="N82">
        <v>3</v>
      </c>
      <c r="O82" t="s">
        <v>173</v>
      </c>
      <c r="P82">
        <v>11</v>
      </c>
      <c r="R82" t="s">
        <v>187</v>
      </c>
      <c r="S82" t="s">
        <v>28</v>
      </c>
      <c r="T82" t="s">
        <v>29</v>
      </c>
      <c r="U82" s="11">
        <v>0</v>
      </c>
    </row>
    <row r="83" spans="14:23" ht="15.75" x14ac:dyDescent="0.2">
      <c r="N83">
        <v>3</v>
      </c>
      <c r="O83" t="s">
        <v>173</v>
      </c>
      <c r="P83">
        <v>12</v>
      </c>
      <c r="R83" t="s">
        <v>187</v>
      </c>
      <c r="T83" t="s">
        <v>30</v>
      </c>
      <c r="U83" s="11">
        <v>0</v>
      </c>
    </row>
    <row r="84" spans="14:23" ht="15.75" x14ac:dyDescent="0.2">
      <c r="N84">
        <v>3</v>
      </c>
      <c r="O84" t="s">
        <v>173</v>
      </c>
      <c r="P84">
        <v>13</v>
      </c>
      <c r="R84" t="s">
        <v>187</v>
      </c>
      <c r="T84" t="s">
        <v>31</v>
      </c>
      <c r="U84" s="11">
        <v>0</v>
      </c>
    </row>
    <row r="85" spans="14:23" ht="15.75" x14ac:dyDescent="0.2">
      <c r="N85">
        <v>3</v>
      </c>
      <c r="O85" t="s">
        <v>173</v>
      </c>
      <c r="P85">
        <v>14</v>
      </c>
      <c r="R85" t="s">
        <v>187</v>
      </c>
      <c r="T85" t="s">
        <v>32</v>
      </c>
      <c r="U85" s="11">
        <v>0</v>
      </c>
    </row>
    <row r="86" spans="14:23" ht="15.75" x14ac:dyDescent="0.2">
      <c r="N86">
        <v>3</v>
      </c>
      <c r="O86" t="s">
        <v>173</v>
      </c>
      <c r="P86">
        <v>15</v>
      </c>
      <c r="R86" t="s">
        <v>187</v>
      </c>
      <c r="T86" t="s">
        <v>4</v>
      </c>
      <c r="U86" s="48">
        <f>+AVERAGE(U83:U85)</f>
        <v>0</v>
      </c>
      <c r="V86" t="s">
        <v>28</v>
      </c>
      <c r="W86" t="s">
        <v>234</v>
      </c>
    </row>
    <row r="87" spans="14:23" ht="15.75" x14ac:dyDescent="0.2">
      <c r="N87">
        <v>3</v>
      </c>
      <c r="O87" t="s">
        <v>173</v>
      </c>
      <c r="P87">
        <v>16</v>
      </c>
      <c r="R87" t="s">
        <v>188</v>
      </c>
      <c r="S87" t="s">
        <v>6</v>
      </c>
      <c r="T87" t="s">
        <v>7</v>
      </c>
      <c r="U87" s="11">
        <v>0</v>
      </c>
    </row>
    <row r="88" spans="14:23" ht="15.75" x14ac:dyDescent="0.2">
      <c r="N88">
        <v>3</v>
      </c>
      <c r="O88" t="s">
        <v>173</v>
      </c>
      <c r="P88">
        <v>17</v>
      </c>
      <c r="R88" t="s">
        <v>188</v>
      </c>
      <c r="T88" t="s">
        <v>8</v>
      </c>
      <c r="U88" s="11">
        <v>0</v>
      </c>
    </row>
    <row r="89" spans="14:23" ht="15.75" x14ac:dyDescent="0.2">
      <c r="N89">
        <v>3</v>
      </c>
      <c r="O89" t="s">
        <v>173</v>
      </c>
      <c r="P89">
        <v>18</v>
      </c>
      <c r="R89" t="s">
        <v>188</v>
      </c>
      <c r="T89" t="s">
        <v>9</v>
      </c>
      <c r="U89" s="11">
        <v>0</v>
      </c>
    </row>
    <row r="90" spans="14:23" ht="15.75" x14ac:dyDescent="0.2">
      <c r="N90">
        <v>3</v>
      </c>
      <c r="O90" t="s">
        <v>173</v>
      </c>
      <c r="P90">
        <v>19</v>
      </c>
      <c r="R90" t="s">
        <v>188</v>
      </c>
      <c r="T90" t="s">
        <v>10</v>
      </c>
      <c r="U90" s="11">
        <v>0</v>
      </c>
    </row>
    <row r="91" spans="14:23" ht="15.75" x14ac:dyDescent="0.2">
      <c r="N91">
        <v>3</v>
      </c>
      <c r="O91" t="s">
        <v>173</v>
      </c>
      <c r="P91">
        <v>20</v>
      </c>
      <c r="R91" t="s">
        <v>188</v>
      </c>
      <c r="T91" t="s">
        <v>4</v>
      </c>
      <c r="U91" s="48">
        <f>+AVERAGE(U88:U90)</f>
        <v>0</v>
      </c>
      <c r="V91" t="s">
        <v>6</v>
      </c>
      <c r="W91" t="s">
        <v>235</v>
      </c>
    </row>
    <row r="92" spans="14:23" ht="15.75" x14ac:dyDescent="0.2">
      <c r="N92">
        <v>3</v>
      </c>
      <c r="O92" t="s">
        <v>173</v>
      </c>
      <c r="P92">
        <v>21</v>
      </c>
      <c r="R92" t="s">
        <v>189</v>
      </c>
      <c r="S92" t="s">
        <v>22</v>
      </c>
      <c r="T92" t="s">
        <v>24</v>
      </c>
      <c r="U92" s="11">
        <v>0</v>
      </c>
    </row>
    <row r="93" spans="14:23" ht="15.75" x14ac:dyDescent="0.2">
      <c r="N93">
        <v>3</v>
      </c>
      <c r="O93" t="s">
        <v>173</v>
      </c>
      <c r="P93">
        <v>22</v>
      </c>
      <c r="R93" t="s">
        <v>189</v>
      </c>
      <c r="T93" t="s">
        <v>38</v>
      </c>
      <c r="U93" s="11">
        <v>0</v>
      </c>
    </row>
    <row r="94" spans="14:23" ht="15.75" x14ac:dyDescent="0.2">
      <c r="N94">
        <v>3</v>
      </c>
      <c r="O94" t="s">
        <v>173</v>
      </c>
      <c r="P94">
        <v>23</v>
      </c>
      <c r="R94" t="s">
        <v>189</v>
      </c>
      <c r="T94" t="s">
        <v>26</v>
      </c>
      <c r="U94" s="11">
        <v>0</v>
      </c>
    </row>
    <row r="95" spans="14:23" ht="15.75" x14ac:dyDescent="0.2">
      <c r="N95">
        <v>3</v>
      </c>
      <c r="O95" t="s">
        <v>173</v>
      </c>
      <c r="P95">
        <v>24</v>
      </c>
      <c r="R95" t="s">
        <v>189</v>
      </c>
      <c r="T95" t="s">
        <v>39</v>
      </c>
      <c r="U95" s="11">
        <v>0</v>
      </c>
    </row>
    <row r="96" spans="14:23" ht="15.75" x14ac:dyDescent="0.2">
      <c r="N96">
        <v>3</v>
      </c>
      <c r="O96" t="s">
        <v>173</v>
      </c>
      <c r="P96">
        <v>25</v>
      </c>
      <c r="R96" t="s">
        <v>189</v>
      </c>
      <c r="T96" t="s">
        <v>4</v>
      </c>
      <c r="U96" s="48">
        <f>+AVERAGE(U93:U95)</f>
        <v>0</v>
      </c>
      <c r="V96" t="s">
        <v>22</v>
      </c>
      <c r="W96" t="s">
        <v>244</v>
      </c>
    </row>
    <row r="97" spans="14:23" ht="15.75" x14ac:dyDescent="0.2">
      <c r="N97">
        <v>3</v>
      </c>
      <c r="O97" t="s">
        <v>173</v>
      </c>
      <c r="P97">
        <v>26</v>
      </c>
      <c r="R97" t="s">
        <v>190</v>
      </c>
      <c r="S97" t="s">
        <v>69</v>
      </c>
      <c r="T97" t="s">
        <v>34</v>
      </c>
      <c r="U97" s="11">
        <v>0</v>
      </c>
    </row>
    <row r="98" spans="14:23" ht="15.75" x14ac:dyDescent="0.2">
      <c r="N98">
        <v>3</v>
      </c>
      <c r="O98" t="s">
        <v>173</v>
      </c>
      <c r="P98">
        <v>27</v>
      </c>
      <c r="R98" t="s">
        <v>190</v>
      </c>
      <c r="T98" t="s">
        <v>35</v>
      </c>
      <c r="U98" s="11">
        <v>0</v>
      </c>
    </row>
    <row r="99" spans="14:23" ht="15.75" x14ac:dyDescent="0.2">
      <c r="N99">
        <v>3</v>
      </c>
      <c r="O99" t="s">
        <v>173</v>
      </c>
      <c r="P99">
        <v>28</v>
      </c>
      <c r="R99" t="s">
        <v>190</v>
      </c>
      <c r="T99" t="s">
        <v>36</v>
      </c>
      <c r="U99" s="11">
        <v>0</v>
      </c>
    </row>
    <row r="100" spans="14:23" ht="15.75" x14ac:dyDescent="0.2">
      <c r="N100">
        <v>3</v>
      </c>
      <c r="O100" t="s">
        <v>173</v>
      </c>
      <c r="P100">
        <v>29</v>
      </c>
      <c r="R100" t="s">
        <v>190</v>
      </c>
      <c r="T100" t="s">
        <v>4</v>
      </c>
      <c r="U100" s="48">
        <f>+AVERAGE(U97:U99)</f>
        <v>0</v>
      </c>
      <c r="V100" t="s">
        <v>69</v>
      </c>
      <c r="W100" t="s">
        <v>245</v>
      </c>
    </row>
    <row r="101" spans="14:23" ht="15.75" x14ac:dyDescent="0.2">
      <c r="N101">
        <v>3</v>
      </c>
      <c r="O101" t="s">
        <v>173</v>
      </c>
      <c r="P101">
        <v>30</v>
      </c>
      <c r="R101" t="s">
        <v>249</v>
      </c>
      <c r="S101" t="s">
        <v>44</v>
      </c>
      <c r="T101" t="s">
        <v>45</v>
      </c>
      <c r="U101" s="11">
        <v>0</v>
      </c>
    </row>
    <row r="102" spans="14:23" ht="15.75" x14ac:dyDescent="0.2">
      <c r="N102">
        <v>3</v>
      </c>
      <c r="O102" t="s">
        <v>173</v>
      </c>
      <c r="P102">
        <v>31</v>
      </c>
      <c r="R102" t="s">
        <v>249</v>
      </c>
      <c r="T102" t="s">
        <v>46</v>
      </c>
      <c r="U102" s="11">
        <v>0</v>
      </c>
    </row>
    <row r="103" spans="14:23" ht="15.75" x14ac:dyDescent="0.2">
      <c r="N103">
        <v>3</v>
      </c>
      <c r="O103" t="s">
        <v>173</v>
      </c>
      <c r="P103">
        <v>32</v>
      </c>
      <c r="R103" t="s">
        <v>249</v>
      </c>
      <c r="T103" t="s">
        <v>66</v>
      </c>
      <c r="U103" s="11">
        <v>0</v>
      </c>
    </row>
    <row r="104" spans="14:23" ht="15.75" x14ac:dyDescent="0.2">
      <c r="N104">
        <v>3</v>
      </c>
      <c r="O104" t="s">
        <v>173</v>
      </c>
      <c r="P104">
        <v>33</v>
      </c>
      <c r="R104" t="s">
        <v>249</v>
      </c>
      <c r="T104" t="s">
        <v>4</v>
      </c>
      <c r="U104" s="48">
        <f>+AVERAGE(U101:U103)</f>
        <v>0</v>
      </c>
      <c r="V104" t="s">
        <v>44</v>
      </c>
      <c r="W104" t="s">
        <v>252</v>
      </c>
    </row>
    <row r="105" spans="14:23" ht="15.75" x14ac:dyDescent="0.2">
      <c r="N105">
        <v>3</v>
      </c>
      <c r="O105" t="s">
        <v>173</v>
      </c>
      <c r="P105">
        <v>34</v>
      </c>
      <c r="R105" t="s">
        <v>250</v>
      </c>
      <c r="S105" t="s">
        <v>33</v>
      </c>
      <c r="T105" t="s">
        <v>51</v>
      </c>
      <c r="U105" s="11">
        <v>0</v>
      </c>
    </row>
    <row r="106" spans="14:23" ht="15.75" x14ac:dyDescent="0.2">
      <c r="N106">
        <v>3</v>
      </c>
      <c r="O106" t="s">
        <v>173</v>
      </c>
      <c r="P106">
        <v>35</v>
      </c>
      <c r="R106" t="s">
        <v>250</v>
      </c>
      <c r="T106" t="s">
        <v>25</v>
      </c>
      <c r="U106" s="11">
        <v>0</v>
      </c>
    </row>
    <row r="107" spans="14:23" ht="15.75" x14ac:dyDescent="0.2">
      <c r="N107">
        <v>3</v>
      </c>
      <c r="O107" t="s">
        <v>173</v>
      </c>
      <c r="P107">
        <v>36</v>
      </c>
      <c r="R107" t="s">
        <v>250</v>
      </c>
      <c r="T107" t="s">
        <v>43</v>
      </c>
      <c r="U107" s="11">
        <v>0</v>
      </c>
    </row>
    <row r="108" spans="14:23" ht="15.75" x14ac:dyDescent="0.2">
      <c r="N108">
        <v>3</v>
      </c>
      <c r="O108" t="s">
        <v>173</v>
      </c>
      <c r="P108">
        <v>37</v>
      </c>
      <c r="R108" t="s">
        <v>250</v>
      </c>
      <c r="T108" t="s">
        <v>4</v>
      </c>
      <c r="U108" s="48">
        <f>+AVERAGE(U105:U107)</f>
        <v>0</v>
      </c>
      <c r="V108" t="s">
        <v>33</v>
      </c>
      <c r="W108" t="s">
        <v>253</v>
      </c>
    </row>
    <row r="109" spans="14:23" ht="15.75" x14ac:dyDescent="0.2">
      <c r="N109">
        <v>3</v>
      </c>
      <c r="O109" t="s">
        <v>173</v>
      </c>
      <c r="P109">
        <v>38</v>
      </c>
      <c r="R109" t="s">
        <v>251</v>
      </c>
      <c r="S109" t="s">
        <v>49</v>
      </c>
      <c r="T109" t="s">
        <v>37</v>
      </c>
      <c r="U109" s="11">
        <v>0</v>
      </c>
    </row>
    <row r="110" spans="14:23" ht="15.75" x14ac:dyDescent="0.2">
      <c r="N110">
        <v>3</v>
      </c>
      <c r="O110" t="s">
        <v>173</v>
      </c>
      <c r="P110">
        <v>39</v>
      </c>
      <c r="R110" t="s">
        <v>251</v>
      </c>
      <c r="T110" t="s">
        <v>12</v>
      </c>
      <c r="U110" s="11">
        <v>0</v>
      </c>
    </row>
    <row r="111" spans="14:23" ht="15.75" x14ac:dyDescent="0.2">
      <c r="N111">
        <v>3</v>
      </c>
      <c r="O111" t="s">
        <v>173</v>
      </c>
      <c r="P111">
        <v>40</v>
      </c>
      <c r="R111" t="s">
        <v>251</v>
      </c>
      <c r="T111" t="s">
        <v>52</v>
      </c>
      <c r="U111" s="11">
        <v>0</v>
      </c>
    </row>
    <row r="112" spans="14:23" ht="15.75" x14ac:dyDescent="0.2">
      <c r="N112">
        <v>3</v>
      </c>
      <c r="O112" t="s">
        <v>173</v>
      </c>
      <c r="P112">
        <v>41</v>
      </c>
      <c r="R112" t="s">
        <v>251</v>
      </c>
      <c r="T112" t="s">
        <v>4</v>
      </c>
      <c r="U112" s="48">
        <f>+AVERAGE(U109:U111)</f>
        <v>0</v>
      </c>
      <c r="V112" t="s">
        <v>49</v>
      </c>
      <c r="W112" t="s">
        <v>254</v>
      </c>
    </row>
    <row r="113" spans="14:23" ht="15.75" x14ac:dyDescent="0.2">
      <c r="N113">
        <v>4</v>
      </c>
      <c r="O113" t="s">
        <v>174</v>
      </c>
      <c r="P113">
        <v>1</v>
      </c>
      <c r="R113" t="s">
        <v>185</v>
      </c>
      <c r="S113" t="s">
        <v>18</v>
      </c>
      <c r="T113" t="s">
        <v>74</v>
      </c>
      <c r="U113" s="11">
        <v>0</v>
      </c>
    </row>
    <row r="114" spans="14:23" ht="15.75" x14ac:dyDescent="0.2">
      <c r="N114">
        <v>4</v>
      </c>
      <c r="O114" t="s">
        <v>174</v>
      </c>
      <c r="P114">
        <v>2</v>
      </c>
      <c r="R114" t="s">
        <v>185</v>
      </c>
      <c r="T114" t="s">
        <v>64</v>
      </c>
      <c r="U114" s="11">
        <v>0</v>
      </c>
    </row>
    <row r="115" spans="14:23" ht="15.75" x14ac:dyDescent="0.2">
      <c r="N115">
        <v>4</v>
      </c>
      <c r="O115" t="s">
        <v>174</v>
      </c>
      <c r="P115">
        <v>3</v>
      </c>
      <c r="R115" t="s">
        <v>185</v>
      </c>
      <c r="T115" t="s">
        <v>65</v>
      </c>
      <c r="U115" s="11">
        <v>0</v>
      </c>
    </row>
    <row r="116" spans="14:23" ht="15.75" x14ac:dyDescent="0.2">
      <c r="N116">
        <v>4</v>
      </c>
      <c r="O116" t="s">
        <v>174</v>
      </c>
      <c r="P116">
        <v>4</v>
      </c>
      <c r="R116" t="s">
        <v>185</v>
      </c>
      <c r="T116" t="s">
        <v>4</v>
      </c>
      <c r="U116" s="48">
        <f>+AVERAGE(U113:U115)</f>
        <v>0</v>
      </c>
      <c r="V116" t="s">
        <v>18</v>
      </c>
      <c r="W116" t="s">
        <v>232</v>
      </c>
    </row>
    <row r="117" spans="14:23" ht="15.75" x14ac:dyDescent="0.2">
      <c r="N117">
        <v>4</v>
      </c>
      <c r="O117" t="s">
        <v>174</v>
      </c>
      <c r="P117">
        <v>5</v>
      </c>
      <c r="R117" t="s">
        <v>186</v>
      </c>
      <c r="S117" t="s">
        <v>19</v>
      </c>
      <c r="T117" t="s">
        <v>67</v>
      </c>
      <c r="U117" s="11">
        <v>0</v>
      </c>
    </row>
    <row r="118" spans="14:23" ht="15.75" x14ac:dyDescent="0.2">
      <c r="N118">
        <v>4</v>
      </c>
      <c r="O118" t="s">
        <v>174</v>
      </c>
      <c r="P118">
        <v>6</v>
      </c>
      <c r="R118" t="s">
        <v>186</v>
      </c>
      <c r="T118" t="s">
        <v>5</v>
      </c>
      <c r="U118" s="11">
        <v>0</v>
      </c>
    </row>
    <row r="119" spans="14:23" ht="15.75" x14ac:dyDescent="0.2">
      <c r="N119">
        <v>4</v>
      </c>
      <c r="O119" t="s">
        <v>174</v>
      </c>
      <c r="P119">
        <v>7</v>
      </c>
      <c r="R119" t="s">
        <v>186</v>
      </c>
      <c r="T119" t="s">
        <v>54</v>
      </c>
      <c r="U119" s="11">
        <v>0</v>
      </c>
    </row>
    <row r="120" spans="14:23" ht="15.75" x14ac:dyDescent="0.2">
      <c r="N120">
        <v>4</v>
      </c>
      <c r="O120" t="s">
        <v>174</v>
      </c>
      <c r="P120">
        <v>8</v>
      </c>
      <c r="R120" t="s">
        <v>186</v>
      </c>
      <c r="T120" t="s">
        <v>63</v>
      </c>
      <c r="U120" s="11">
        <v>0</v>
      </c>
    </row>
    <row r="121" spans="14:23" ht="15.75" x14ac:dyDescent="0.2">
      <c r="N121">
        <v>4</v>
      </c>
      <c r="O121" t="s">
        <v>174</v>
      </c>
      <c r="P121">
        <v>9</v>
      </c>
      <c r="R121" t="s">
        <v>186</v>
      </c>
      <c r="T121" t="s">
        <v>62</v>
      </c>
      <c r="U121" s="11">
        <v>0</v>
      </c>
    </row>
    <row r="122" spans="14:23" ht="15.75" x14ac:dyDescent="0.2">
      <c r="N122">
        <v>4</v>
      </c>
      <c r="O122" t="s">
        <v>174</v>
      </c>
      <c r="P122">
        <v>10</v>
      </c>
      <c r="R122" t="s">
        <v>186</v>
      </c>
      <c r="T122" t="s">
        <v>4</v>
      </c>
      <c r="U122" s="48">
        <f>+AVERAGE(U119:U121)</f>
        <v>0</v>
      </c>
      <c r="V122" t="s">
        <v>19</v>
      </c>
      <c r="W122" t="s">
        <v>233</v>
      </c>
    </row>
    <row r="123" spans="14:23" ht="15.75" x14ac:dyDescent="0.2">
      <c r="N123">
        <v>4</v>
      </c>
      <c r="O123" t="s">
        <v>174</v>
      </c>
      <c r="P123">
        <v>11</v>
      </c>
      <c r="R123" t="s">
        <v>187</v>
      </c>
      <c r="S123" t="s">
        <v>28</v>
      </c>
      <c r="T123" t="s">
        <v>29</v>
      </c>
      <c r="U123" s="11">
        <v>0</v>
      </c>
    </row>
    <row r="124" spans="14:23" ht="15.75" x14ac:dyDescent="0.2">
      <c r="N124">
        <v>4</v>
      </c>
      <c r="O124" t="s">
        <v>174</v>
      </c>
      <c r="P124">
        <v>12</v>
      </c>
      <c r="R124" t="s">
        <v>187</v>
      </c>
      <c r="T124" t="s">
        <v>30</v>
      </c>
      <c r="U124" s="11">
        <v>0</v>
      </c>
    </row>
    <row r="125" spans="14:23" ht="15.75" x14ac:dyDescent="0.2">
      <c r="N125">
        <v>4</v>
      </c>
      <c r="O125" t="s">
        <v>174</v>
      </c>
      <c r="P125">
        <v>13</v>
      </c>
      <c r="R125" t="s">
        <v>187</v>
      </c>
      <c r="T125" t="s">
        <v>31</v>
      </c>
      <c r="U125" s="11">
        <v>0</v>
      </c>
    </row>
    <row r="126" spans="14:23" ht="15.75" x14ac:dyDescent="0.2">
      <c r="N126">
        <v>4</v>
      </c>
      <c r="O126" t="s">
        <v>174</v>
      </c>
      <c r="P126">
        <v>14</v>
      </c>
      <c r="R126" t="s">
        <v>187</v>
      </c>
      <c r="T126" t="s">
        <v>32</v>
      </c>
      <c r="U126" s="11">
        <v>0</v>
      </c>
    </row>
    <row r="127" spans="14:23" ht="15.75" x14ac:dyDescent="0.2">
      <c r="N127">
        <v>4</v>
      </c>
      <c r="O127" t="s">
        <v>174</v>
      </c>
      <c r="P127">
        <v>15</v>
      </c>
      <c r="R127" t="s">
        <v>187</v>
      </c>
      <c r="T127" t="s">
        <v>4</v>
      </c>
      <c r="U127" s="48">
        <f>+AVERAGE(U124:U126)</f>
        <v>0</v>
      </c>
      <c r="V127" t="s">
        <v>28</v>
      </c>
      <c r="W127" t="s">
        <v>234</v>
      </c>
    </row>
    <row r="128" spans="14:23" ht="15.75" x14ac:dyDescent="0.2">
      <c r="N128">
        <v>4</v>
      </c>
      <c r="O128" t="s">
        <v>174</v>
      </c>
      <c r="P128">
        <v>16</v>
      </c>
      <c r="R128" t="s">
        <v>188</v>
      </c>
      <c r="S128" t="s">
        <v>6</v>
      </c>
      <c r="T128" t="s">
        <v>7</v>
      </c>
      <c r="U128" s="11">
        <v>0</v>
      </c>
    </row>
    <row r="129" spans="14:23" ht="15.75" x14ac:dyDescent="0.2">
      <c r="N129">
        <v>4</v>
      </c>
      <c r="O129" t="s">
        <v>174</v>
      </c>
      <c r="P129">
        <v>17</v>
      </c>
      <c r="R129" t="s">
        <v>188</v>
      </c>
      <c r="T129" t="s">
        <v>8</v>
      </c>
      <c r="U129" s="11">
        <v>0</v>
      </c>
    </row>
    <row r="130" spans="14:23" ht="15.75" x14ac:dyDescent="0.2">
      <c r="N130">
        <v>4</v>
      </c>
      <c r="O130" t="s">
        <v>174</v>
      </c>
      <c r="P130">
        <v>18</v>
      </c>
      <c r="R130" t="s">
        <v>188</v>
      </c>
      <c r="T130" t="s">
        <v>9</v>
      </c>
      <c r="U130" s="11">
        <v>0</v>
      </c>
    </row>
    <row r="131" spans="14:23" ht="15.75" x14ac:dyDescent="0.2">
      <c r="N131">
        <v>4</v>
      </c>
      <c r="O131" t="s">
        <v>174</v>
      </c>
      <c r="P131">
        <v>19</v>
      </c>
      <c r="R131" t="s">
        <v>188</v>
      </c>
      <c r="T131" t="s">
        <v>10</v>
      </c>
      <c r="U131" s="11">
        <v>0</v>
      </c>
    </row>
    <row r="132" spans="14:23" ht="15.75" x14ac:dyDescent="0.2">
      <c r="N132">
        <v>4</v>
      </c>
      <c r="O132" t="s">
        <v>174</v>
      </c>
      <c r="P132">
        <v>20</v>
      </c>
      <c r="R132" t="s">
        <v>188</v>
      </c>
      <c r="T132" t="s">
        <v>4</v>
      </c>
      <c r="U132" s="48">
        <f>+AVERAGE(U129:U131)</f>
        <v>0</v>
      </c>
      <c r="V132" t="s">
        <v>6</v>
      </c>
      <c r="W132" t="s">
        <v>235</v>
      </c>
    </row>
    <row r="133" spans="14:23" ht="15.75" x14ac:dyDescent="0.2">
      <c r="N133">
        <v>4</v>
      </c>
      <c r="O133" t="s">
        <v>174</v>
      </c>
      <c r="P133">
        <v>21</v>
      </c>
      <c r="R133" t="s">
        <v>189</v>
      </c>
      <c r="S133" t="s">
        <v>22</v>
      </c>
      <c r="T133" t="s">
        <v>24</v>
      </c>
      <c r="U133" s="11">
        <v>0</v>
      </c>
    </row>
    <row r="134" spans="14:23" ht="15.75" x14ac:dyDescent="0.2">
      <c r="N134">
        <v>4</v>
      </c>
      <c r="O134" t="s">
        <v>174</v>
      </c>
      <c r="P134">
        <v>22</v>
      </c>
      <c r="R134" t="s">
        <v>189</v>
      </c>
      <c r="T134" t="s">
        <v>38</v>
      </c>
      <c r="U134" s="11">
        <v>0</v>
      </c>
    </row>
    <row r="135" spans="14:23" ht="15.75" x14ac:dyDescent="0.2">
      <c r="N135">
        <v>4</v>
      </c>
      <c r="O135" t="s">
        <v>174</v>
      </c>
      <c r="P135">
        <v>23</v>
      </c>
      <c r="R135" t="s">
        <v>189</v>
      </c>
      <c r="T135" t="s">
        <v>26</v>
      </c>
      <c r="U135" s="11">
        <v>0</v>
      </c>
    </row>
    <row r="136" spans="14:23" ht="15.75" x14ac:dyDescent="0.2">
      <c r="N136">
        <v>4</v>
      </c>
      <c r="O136" t="s">
        <v>174</v>
      </c>
      <c r="P136">
        <v>24</v>
      </c>
      <c r="R136" t="s">
        <v>189</v>
      </c>
      <c r="T136" t="s">
        <v>39</v>
      </c>
      <c r="U136" s="11">
        <v>0</v>
      </c>
    </row>
    <row r="137" spans="14:23" ht="15.75" x14ac:dyDescent="0.2">
      <c r="N137">
        <v>4</v>
      </c>
      <c r="O137" t="s">
        <v>174</v>
      </c>
      <c r="P137">
        <v>25</v>
      </c>
      <c r="R137" t="s">
        <v>189</v>
      </c>
      <c r="T137" t="s">
        <v>4</v>
      </c>
      <c r="U137" s="48">
        <f>+AVERAGE(U134:U136)</f>
        <v>0</v>
      </c>
      <c r="V137" t="s">
        <v>22</v>
      </c>
      <c r="W137" t="s">
        <v>244</v>
      </c>
    </row>
    <row r="138" spans="14:23" ht="15.75" x14ac:dyDescent="0.2">
      <c r="N138">
        <v>4</v>
      </c>
      <c r="O138" t="s">
        <v>174</v>
      </c>
      <c r="P138">
        <v>26</v>
      </c>
      <c r="R138" t="s">
        <v>190</v>
      </c>
      <c r="S138" t="s">
        <v>69</v>
      </c>
      <c r="T138" t="s">
        <v>61</v>
      </c>
      <c r="U138" s="11">
        <v>0</v>
      </c>
    </row>
    <row r="139" spans="14:23" ht="15.75" x14ac:dyDescent="0.2">
      <c r="N139">
        <v>4</v>
      </c>
      <c r="O139" t="s">
        <v>174</v>
      </c>
      <c r="P139">
        <v>27</v>
      </c>
      <c r="R139" t="s">
        <v>190</v>
      </c>
      <c r="T139" t="s">
        <v>35</v>
      </c>
      <c r="U139" s="11">
        <v>0</v>
      </c>
    </row>
    <row r="140" spans="14:23" ht="15.75" x14ac:dyDescent="0.2">
      <c r="N140">
        <v>4</v>
      </c>
      <c r="O140" t="s">
        <v>174</v>
      </c>
      <c r="P140">
        <v>28</v>
      </c>
      <c r="R140" t="s">
        <v>190</v>
      </c>
      <c r="T140" t="s">
        <v>36</v>
      </c>
      <c r="U140" s="11">
        <v>0</v>
      </c>
    </row>
    <row r="141" spans="14:23" ht="15.75" x14ac:dyDescent="0.2">
      <c r="N141">
        <v>4</v>
      </c>
      <c r="O141" t="s">
        <v>174</v>
      </c>
      <c r="P141">
        <v>29</v>
      </c>
      <c r="R141" t="s">
        <v>190</v>
      </c>
      <c r="T141" t="s">
        <v>4</v>
      </c>
      <c r="U141" s="48">
        <f>+AVERAGE(U138:U140)</f>
        <v>0</v>
      </c>
      <c r="V141" t="s">
        <v>69</v>
      </c>
      <c r="W141" t="s">
        <v>245</v>
      </c>
    </row>
    <row r="142" spans="14:23" ht="15.75" x14ac:dyDescent="0.2">
      <c r="N142">
        <v>4</v>
      </c>
      <c r="O142" t="s">
        <v>174</v>
      </c>
      <c r="P142">
        <v>30</v>
      </c>
      <c r="R142" t="s">
        <v>249</v>
      </c>
      <c r="S142" t="s">
        <v>44</v>
      </c>
      <c r="T142" t="s">
        <v>45</v>
      </c>
      <c r="U142" s="11">
        <v>0</v>
      </c>
    </row>
    <row r="143" spans="14:23" ht="15.75" x14ac:dyDescent="0.2">
      <c r="N143">
        <v>4</v>
      </c>
      <c r="O143" t="s">
        <v>174</v>
      </c>
      <c r="P143">
        <v>31</v>
      </c>
      <c r="R143" t="s">
        <v>249</v>
      </c>
      <c r="T143" t="s">
        <v>46</v>
      </c>
      <c r="U143" s="11">
        <v>0</v>
      </c>
    </row>
    <row r="144" spans="14:23" ht="15.75" x14ac:dyDescent="0.2">
      <c r="N144">
        <v>4</v>
      </c>
      <c r="O144" t="s">
        <v>174</v>
      </c>
      <c r="P144">
        <v>32</v>
      </c>
      <c r="R144" t="s">
        <v>249</v>
      </c>
      <c r="T144" t="s">
        <v>66</v>
      </c>
      <c r="U144" s="11">
        <v>0</v>
      </c>
    </row>
    <row r="145" spans="14:23" ht="15.75" x14ac:dyDescent="0.2">
      <c r="N145">
        <v>4</v>
      </c>
      <c r="O145" t="s">
        <v>174</v>
      </c>
      <c r="P145">
        <v>33</v>
      </c>
      <c r="R145" t="s">
        <v>249</v>
      </c>
      <c r="T145" t="s">
        <v>4</v>
      </c>
      <c r="U145" s="48">
        <f>+AVERAGE(U142:U144)</f>
        <v>0</v>
      </c>
      <c r="V145" t="s">
        <v>44</v>
      </c>
      <c r="W145" t="s">
        <v>252</v>
      </c>
    </row>
    <row r="146" spans="14:23" ht="15.75" x14ac:dyDescent="0.2">
      <c r="N146">
        <v>4</v>
      </c>
      <c r="O146" t="s">
        <v>174</v>
      </c>
      <c r="P146">
        <v>34</v>
      </c>
      <c r="R146" t="s">
        <v>250</v>
      </c>
      <c r="S146" t="s">
        <v>33</v>
      </c>
      <c r="T146" t="s">
        <v>51</v>
      </c>
      <c r="U146" s="11">
        <v>0</v>
      </c>
    </row>
    <row r="147" spans="14:23" ht="15.75" x14ac:dyDescent="0.2">
      <c r="N147">
        <v>4</v>
      </c>
      <c r="O147" t="s">
        <v>174</v>
      </c>
      <c r="P147">
        <v>35</v>
      </c>
      <c r="R147" t="s">
        <v>250</v>
      </c>
      <c r="T147" t="s">
        <v>48</v>
      </c>
      <c r="U147" s="11">
        <v>0</v>
      </c>
    </row>
    <row r="148" spans="14:23" ht="15.75" x14ac:dyDescent="0.2">
      <c r="N148">
        <v>4</v>
      </c>
      <c r="O148" t="s">
        <v>174</v>
      </c>
      <c r="P148">
        <v>36</v>
      </c>
      <c r="R148" t="s">
        <v>250</v>
      </c>
      <c r="T148" t="s">
        <v>43</v>
      </c>
      <c r="U148" s="11">
        <v>0</v>
      </c>
    </row>
    <row r="149" spans="14:23" ht="15.75" x14ac:dyDescent="0.2">
      <c r="N149">
        <v>4</v>
      </c>
      <c r="O149" t="s">
        <v>174</v>
      </c>
      <c r="P149">
        <v>37</v>
      </c>
      <c r="R149" t="s">
        <v>250</v>
      </c>
      <c r="T149" t="s">
        <v>4</v>
      </c>
      <c r="U149" s="48">
        <f>+AVERAGE(U146:U148)</f>
        <v>0</v>
      </c>
      <c r="V149" t="s">
        <v>33</v>
      </c>
      <c r="W149" t="s">
        <v>253</v>
      </c>
    </row>
    <row r="150" spans="14:23" ht="15.75" x14ac:dyDescent="0.2">
      <c r="N150">
        <v>4</v>
      </c>
      <c r="O150" t="s">
        <v>174</v>
      </c>
      <c r="P150">
        <v>38</v>
      </c>
      <c r="R150" t="s">
        <v>251</v>
      </c>
      <c r="S150" t="s">
        <v>49</v>
      </c>
      <c r="T150" t="s">
        <v>37</v>
      </c>
      <c r="U150" s="11">
        <v>0</v>
      </c>
    </row>
    <row r="151" spans="14:23" ht="15.75" x14ac:dyDescent="0.2">
      <c r="N151">
        <v>4</v>
      </c>
      <c r="O151" t="s">
        <v>174</v>
      </c>
      <c r="P151">
        <v>39</v>
      </c>
      <c r="R151" t="s">
        <v>251</v>
      </c>
      <c r="T151" t="s">
        <v>12</v>
      </c>
      <c r="U151" s="11">
        <v>0</v>
      </c>
    </row>
    <row r="152" spans="14:23" ht="15.75" x14ac:dyDescent="0.2">
      <c r="N152">
        <v>4</v>
      </c>
      <c r="O152" t="s">
        <v>174</v>
      </c>
      <c r="P152">
        <v>40</v>
      </c>
      <c r="R152" t="s">
        <v>251</v>
      </c>
      <c r="T152" t="s">
        <v>52</v>
      </c>
      <c r="U152" s="11">
        <v>0</v>
      </c>
    </row>
    <row r="153" spans="14:23" ht="15.75" x14ac:dyDescent="0.2">
      <c r="N153">
        <v>4</v>
      </c>
      <c r="O153" t="s">
        <v>174</v>
      </c>
      <c r="P153">
        <v>41</v>
      </c>
      <c r="R153" t="s">
        <v>251</v>
      </c>
      <c r="T153" t="s">
        <v>4</v>
      </c>
      <c r="U153" s="48">
        <f>+AVERAGE(U150:U152)</f>
        <v>0</v>
      </c>
      <c r="V153" t="s">
        <v>49</v>
      </c>
      <c r="W153" t="s">
        <v>254</v>
      </c>
    </row>
    <row r="154" spans="14:23" ht="15.75" x14ac:dyDescent="0.2">
      <c r="N154">
        <v>5</v>
      </c>
      <c r="O154" t="s">
        <v>175</v>
      </c>
      <c r="P154">
        <v>1</v>
      </c>
      <c r="R154" t="s">
        <v>185</v>
      </c>
      <c r="S154" t="s">
        <v>18</v>
      </c>
      <c r="T154" t="s">
        <v>74</v>
      </c>
      <c r="U154" s="11">
        <v>0</v>
      </c>
    </row>
    <row r="155" spans="14:23" ht="15.75" x14ac:dyDescent="0.2">
      <c r="N155">
        <v>5</v>
      </c>
      <c r="O155" t="s">
        <v>175</v>
      </c>
      <c r="P155">
        <v>2</v>
      </c>
      <c r="R155" t="s">
        <v>185</v>
      </c>
      <c r="T155" t="s">
        <v>64</v>
      </c>
      <c r="U155" s="11">
        <v>0</v>
      </c>
    </row>
    <row r="156" spans="14:23" ht="15.75" x14ac:dyDescent="0.2">
      <c r="N156">
        <v>5</v>
      </c>
      <c r="O156" t="s">
        <v>175</v>
      </c>
      <c r="P156">
        <v>3</v>
      </c>
      <c r="R156" t="s">
        <v>185</v>
      </c>
      <c r="T156" t="s">
        <v>65</v>
      </c>
      <c r="U156" s="11">
        <v>0</v>
      </c>
    </row>
    <row r="157" spans="14:23" ht="15.75" x14ac:dyDescent="0.2">
      <c r="N157">
        <v>5</v>
      </c>
      <c r="O157" t="s">
        <v>175</v>
      </c>
      <c r="P157">
        <v>4</v>
      </c>
      <c r="R157" t="s">
        <v>185</v>
      </c>
      <c r="T157" t="s">
        <v>4</v>
      </c>
      <c r="U157" s="48">
        <f>+AVERAGE(U154:U156)</f>
        <v>0</v>
      </c>
      <c r="V157" t="s">
        <v>18</v>
      </c>
      <c r="W157" t="s">
        <v>232</v>
      </c>
    </row>
    <row r="158" spans="14:23" ht="15.75" x14ac:dyDescent="0.2">
      <c r="N158">
        <v>5</v>
      </c>
      <c r="O158" t="s">
        <v>175</v>
      </c>
      <c r="P158">
        <v>5</v>
      </c>
      <c r="R158" t="s">
        <v>186</v>
      </c>
      <c r="S158" t="s">
        <v>19</v>
      </c>
      <c r="T158" t="s">
        <v>67</v>
      </c>
      <c r="U158" s="11">
        <v>0</v>
      </c>
    </row>
    <row r="159" spans="14:23" ht="15.75" x14ac:dyDescent="0.2">
      <c r="N159">
        <v>5</v>
      </c>
      <c r="O159" t="s">
        <v>175</v>
      </c>
      <c r="P159">
        <v>6</v>
      </c>
      <c r="R159" t="s">
        <v>186</v>
      </c>
      <c r="T159" t="s">
        <v>5</v>
      </c>
      <c r="U159" s="11">
        <v>0</v>
      </c>
    </row>
    <row r="160" spans="14:23" ht="15.75" x14ac:dyDescent="0.2">
      <c r="N160">
        <v>5</v>
      </c>
      <c r="O160" t="s">
        <v>175</v>
      </c>
      <c r="P160">
        <v>7</v>
      </c>
      <c r="R160" t="s">
        <v>186</v>
      </c>
      <c r="T160" t="s">
        <v>54</v>
      </c>
      <c r="U160" s="11">
        <v>0</v>
      </c>
    </row>
    <row r="161" spans="14:23" ht="15.75" x14ac:dyDescent="0.2">
      <c r="N161">
        <v>5</v>
      </c>
      <c r="O161" t="s">
        <v>175</v>
      </c>
      <c r="P161">
        <v>8</v>
      </c>
      <c r="R161" t="s">
        <v>186</v>
      </c>
      <c r="T161" t="s">
        <v>63</v>
      </c>
      <c r="U161" s="11">
        <v>0</v>
      </c>
    </row>
    <row r="162" spans="14:23" ht="15.75" x14ac:dyDescent="0.2">
      <c r="N162">
        <v>5</v>
      </c>
      <c r="O162" t="s">
        <v>175</v>
      </c>
      <c r="P162">
        <v>9</v>
      </c>
      <c r="R162" t="s">
        <v>186</v>
      </c>
      <c r="T162" t="s">
        <v>62</v>
      </c>
      <c r="U162" s="11">
        <v>0</v>
      </c>
    </row>
    <row r="163" spans="14:23" ht="15.75" x14ac:dyDescent="0.2">
      <c r="N163">
        <v>5</v>
      </c>
      <c r="O163" t="s">
        <v>175</v>
      </c>
      <c r="P163">
        <v>10</v>
      </c>
      <c r="R163" t="s">
        <v>186</v>
      </c>
      <c r="T163" t="s">
        <v>4</v>
      </c>
      <c r="U163" s="48">
        <f>+AVERAGE(U160:U162)</f>
        <v>0</v>
      </c>
      <c r="V163" t="s">
        <v>19</v>
      </c>
      <c r="W163" t="s">
        <v>233</v>
      </c>
    </row>
    <row r="164" spans="14:23" ht="15.75" x14ac:dyDescent="0.2">
      <c r="N164">
        <v>5</v>
      </c>
      <c r="O164" t="s">
        <v>175</v>
      </c>
      <c r="P164">
        <v>11</v>
      </c>
      <c r="R164" t="s">
        <v>187</v>
      </c>
      <c r="S164" t="s">
        <v>28</v>
      </c>
      <c r="T164" t="s">
        <v>29</v>
      </c>
      <c r="U164" s="11">
        <v>0</v>
      </c>
    </row>
    <row r="165" spans="14:23" ht="15.75" x14ac:dyDescent="0.2">
      <c r="N165">
        <v>5</v>
      </c>
      <c r="O165" t="s">
        <v>175</v>
      </c>
      <c r="P165">
        <v>12</v>
      </c>
      <c r="R165" t="s">
        <v>187</v>
      </c>
      <c r="T165" t="s">
        <v>30</v>
      </c>
      <c r="U165" s="11">
        <v>0</v>
      </c>
    </row>
    <row r="166" spans="14:23" ht="15.75" x14ac:dyDescent="0.2">
      <c r="N166">
        <v>5</v>
      </c>
      <c r="O166" t="s">
        <v>175</v>
      </c>
      <c r="P166">
        <v>13</v>
      </c>
      <c r="R166" t="s">
        <v>187</v>
      </c>
      <c r="T166" t="s">
        <v>31</v>
      </c>
      <c r="U166" s="11">
        <v>0</v>
      </c>
    </row>
    <row r="167" spans="14:23" ht="15.75" x14ac:dyDescent="0.2">
      <c r="N167">
        <v>5</v>
      </c>
      <c r="O167" t="s">
        <v>175</v>
      </c>
      <c r="P167">
        <v>14</v>
      </c>
      <c r="R167" t="s">
        <v>187</v>
      </c>
      <c r="T167" t="s">
        <v>32</v>
      </c>
      <c r="U167" s="11">
        <v>0</v>
      </c>
    </row>
    <row r="168" spans="14:23" ht="15.75" x14ac:dyDescent="0.2">
      <c r="N168">
        <v>5</v>
      </c>
      <c r="O168" t="s">
        <v>175</v>
      </c>
      <c r="P168">
        <v>15</v>
      </c>
      <c r="R168" t="s">
        <v>187</v>
      </c>
      <c r="T168" t="s">
        <v>4</v>
      </c>
      <c r="U168" s="48">
        <f>+AVERAGE(U165:U167)</f>
        <v>0</v>
      </c>
      <c r="V168" t="s">
        <v>28</v>
      </c>
      <c r="W168" t="s">
        <v>234</v>
      </c>
    </row>
    <row r="169" spans="14:23" ht="15.75" x14ac:dyDescent="0.2">
      <c r="N169">
        <v>5</v>
      </c>
      <c r="O169" t="s">
        <v>175</v>
      </c>
      <c r="P169">
        <v>16</v>
      </c>
      <c r="R169" t="s">
        <v>188</v>
      </c>
      <c r="S169" t="s">
        <v>6</v>
      </c>
      <c r="T169" t="s">
        <v>7</v>
      </c>
      <c r="U169" s="11">
        <v>0</v>
      </c>
    </row>
    <row r="170" spans="14:23" ht="15.75" x14ac:dyDescent="0.2">
      <c r="N170">
        <v>5</v>
      </c>
      <c r="O170" t="s">
        <v>175</v>
      </c>
      <c r="P170">
        <v>17</v>
      </c>
      <c r="R170" t="s">
        <v>188</v>
      </c>
      <c r="T170" t="s">
        <v>8</v>
      </c>
      <c r="U170" s="11">
        <v>0</v>
      </c>
    </row>
    <row r="171" spans="14:23" ht="15.75" x14ac:dyDescent="0.2">
      <c r="N171">
        <v>5</v>
      </c>
      <c r="O171" t="s">
        <v>175</v>
      </c>
      <c r="P171">
        <v>18</v>
      </c>
      <c r="R171" t="s">
        <v>188</v>
      </c>
      <c r="T171" t="s">
        <v>9</v>
      </c>
      <c r="U171" s="11">
        <v>0</v>
      </c>
    </row>
    <row r="172" spans="14:23" ht="15.75" x14ac:dyDescent="0.2">
      <c r="N172">
        <v>5</v>
      </c>
      <c r="O172" t="s">
        <v>175</v>
      </c>
      <c r="P172">
        <v>19</v>
      </c>
      <c r="R172" t="s">
        <v>188</v>
      </c>
      <c r="T172" t="s">
        <v>10</v>
      </c>
      <c r="U172" s="11">
        <v>0</v>
      </c>
    </row>
    <row r="173" spans="14:23" ht="15.75" x14ac:dyDescent="0.2">
      <c r="N173">
        <v>5</v>
      </c>
      <c r="O173" t="s">
        <v>175</v>
      </c>
      <c r="P173">
        <v>20</v>
      </c>
      <c r="R173" t="s">
        <v>188</v>
      </c>
      <c r="T173" t="s">
        <v>4</v>
      </c>
      <c r="U173" s="48">
        <f>+AVERAGE(U170:U172)</f>
        <v>0</v>
      </c>
      <c r="V173" t="s">
        <v>6</v>
      </c>
      <c r="W173" t="s">
        <v>235</v>
      </c>
    </row>
    <row r="174" spans="14:23" ht="15.75" x14ac:dyDescent="0.2">
      <c r="N174">
        <v>5</v>
      </c>
      <c r="O174" t="s">
        <v>175</v>
      </c>
      <c r="P174">
        <v>21</v>
      </c>
      <c r="R174" t="s">
        <v>189</v>
      </c>
      <c r="S174" t="s">
        <v>22</v>
      </c>
      <c r="T174" t="s">
        <v>24</v>
      </c>
      <c r="U174" s="11">
        <v>0</v>
      </c>
    </row>
    <row r="175" spans="14:23" ht="15.75" x14ac:dyDescent="0.2">
      <c r="N175">
        <v>5</v>
      </c>
      <c r="O175" t="s">
        <v>175</v>
      </c>
      <c r="P175">
        <v>22</v>
      </c>
      <c r="R175" t="s">
        <v>189</v>
      </c>
      <c r="T175" t="s">
        <v>38</v>
      </c>
      <c r="U175" s="11">
        <v>0</v>
      </c>
    </row>
    <row r="176" spans="14:23" ht="15.75" x14ac:dyDescent="0.2">
      <c r="N176">
        <v>5</v>
      </c>
      <c r="O176" t="s">
        <v>175</v>
      </c>
      <c r="P176">
        <v>23</v>
      </c>
      <c r="R176" t="s">
        <v>189</v>
      </c>
      <c r="T176" t="s">
        <v>26</v>
      </c>
      <c r="U176" s="11">
        <v>0</v>
      </c>
    </row>
    <row r="177" spans="14:23" ht="15.75" x14ac:dyDescent="0.2">
      <c r="N177">
        <v>5</v>
      </c>
      <c r="O177" t="s">
        <v>175</v>
      </c>
      <c r="P177">
        <v>24</v>
      </c>
      <c r="R177" t="s">
        <v>189</v>
      </c>
      <c r="T177" t="s">
        <v>39</v>
      </c>
      <c r="U177" s="11">
        <v>0</v>
      </c>
    </row>
    <row r="178" spans="14:23" ht="15.75" x14ac:dyDescent="0.2">
      <c r="N178">
        <v>5</v>
      </c>
      <c r="O178" t="s">
        <v>175</v>
      </c>
      <c r="P178">
        <v>25</v>
      </c>
      <c r="R178" t="s">
        <v>189</v>
      </c>
      <c r="T178" t="s">
        <v>4</v>
      </c>
      <c r="U178" s="48">
        <f>+AVERAGE(U175:U177)</f>
        <v>0</v>
      </c>
      <c r="V178" t="s">
        <v>22</v>
      </c>
      <c r="W178" t="s">
        <v>244</v>
      </c>
    </row>
    <row r="179" spans="14:23" ht="15.75" x14ac:dyDescent="0.2">
      <c r="N179">
        <v>5</v>
      </c>
      <c r="O179" t="s">
        <v>175</v>
      </c>
      <c r="P179">
        <v>26</v>
      </c>
      <c r="R179" t="s">
        <v>190</v>
      </c>
      <c r="S179" t="s">
        <v>69</v>
      </c>
      <c r="T179" t="s">
        <v>60</v>
      </c>
      <c r="U179" s="11">
        <v>0</v>
      </c>
    </row>
    <row r="180" spans="14:23" ht="15.75" x14ac:dyDescent="0.2">
      <c r="N180">
        <v>5</v>
      </c>
      <c r="O180" t="s">
        <v>175</v>
      </c>
      <c r="P180">
        <v>27</v>
      </c>
      <c r="R180" t="s">
        <v>190</v>
      </c>
      <c r="T180" t="s">
        <v>59</v>
      </c>
      <c r="U180" s="11">
        <v>0</v>
      </c>
    </row>
    <row r="181" spans="14:23" ht="15.75" x14ac:dyDescent="0.2">
      <c r="N181">
        <v>5</v>
      </c>
      <c r="O181" t="s">
        <v>175</v>
      </c>
      <c r="P181">
        <v>28</v>
      </c>
      <c r="R181" t="s">
        <v>190</v>
      </c>
      <c r="T181" t="s">
        <v>36</v>
      </c>
      <c r="U181" s="11">
        <v>0</v>
      </c>
    </row>
    <row r="182" spans="14:23" ht="15.75" x14ac:dyDescent="0.2">
      <c r="N182">
        <v>5</v>
      </c>
      <c r="O182" t="s">
        <v>175</v>
      </c>
      <c r="P182">
        <v>29</v>
      </c>
      <c r="R182" t="s">
        <v>190</v>
      </c>
      <c r="T182" t="s">
        <v>4</v>
      </c>
      <c r="U182" s="48">
        <f>+AVERAGE(U179:U181)</f>
        <v>0</v>
      </c>
      <c r="V182" t="s">
        <v>69</v>
      </c>
      <c r="W182" t="s">
        <v>245</v>
      </c>
    </row>
    <row r="183" spans="14:23" ht="15.75" x14ac:dyDescent="0.2">
      <c r="N183">
        <v>5</v>
      </c>
      <c r="O183" t="s">
        <v>175</v>
      </c>
      <c r="P183">
        <v>30</v>
      </c>
      <c r="R183" t="s">
        <v>249</v>
      </c>
      <c r="S183" t="s">
        <v>44</v>
      </c>
      <c r="T183" t="s">
        <v>45</v>
      </c>
      <c r="U183" s="11">
        <v>0</v>
      </c>
    </row>
    <row r="184" spans="14:23" ht="15.75" x14ac:dyDescent="0.2">
      <c r="N184">
        <v>5</v>
      </c>
      <c r="O184" t="s">
        <v>175</v>
      </c>
      <c r="P184">
        <v>31</v>
      </c>
      <c r="R184" t="s">
        <v>249</v>
      </c>
      <c r="T184" t="s">
        <v>46</v>
      </c>
      <c r="U184" s="11">
        <v>0</v>
      </c>
    </row>
    <row r="185" spans="14:23" ht="15.75" x14ac:dyDescent="0.2">
      <c r="N185">
        <v>5</v>
      </c>
      <c r="O185" t="s">
        <v>175</v>
      </c>
      <c r="P185">
        <v>32</v>
      </c>
      <c r="R185" t="s">
        <v>249</v>
      </c>
      <c r="T185" t="s">
        <v>66</v>
      </c>
      <c r="U185" s="11">
        <v>0</v>
      </c>
    </row>
    <row r="186" spans="14:23" ht="15.75" x14ac:dyDescent="0.2">
      <c r="N186">
        <v>5</v>
      </c>
      <c r="O186" t="s">
        <v>175</v>
      </c>
      <c r="P186">
        <v>33</v>
      </c>
      <c r="R186" t="s">
        <v>249</v>
      </c>
      <c r="T186" t="s">
        <v>4</v>
      </c>
      <c r="U186" s="48">
        <f>+AVERAGE(U183:U185)</f>
        <v>0</v>
      </c>
      <c r="V186" t="s">
        <v>44</v>
      </c>
      <c r="W186" t="s">
        <v>252</v>
      </c>
    </row>
    <row r="187" spans="14:23" ht="15.75" x14ac:dyDescent="0.2">
      <c r="N187">
        <v>5</v>
      </c>
      <c r="O187" t="s">
        <v>175</v>
      </c>
      <c r="P187">
        <v>34</v>
      </c>
      <c r="R187" t="s">
        <v>250</v>
      </c>
      <c r="S187" t="s">
        <v>33</v>
      </c>
      <c r="T187" t="s">
        <v>51</v>
      </c>
      <c r="U187" s="11">
        <v>0</v>
      </c>
    </row>
    <row r="188" spans="14:23" ht="15.75" x14ac:dyDescent="0.2">
      <c r="N188">
        <v>5</v>
      </c>
      <c r="O188" t="s">
        <v>175</v>
      </c>
      <c r="P188">
        <v>35</v>
      </c>
      <c r="R188" t="s">
        <v>250</v>
      </c>
      <c r="T188" t="s">
        <v>48</v>
      </c>
      <c r="U188" s="11">
        <v>0</v>
      </c>
    </row>
    <row r="189" spans="14:23" ht="15.75" x14ac:dyDescent="0.2">
      <c r="N189">
        <v>5</v>
      </c>
      <c r="O189" t="s">
        <v>175</v>
      </c>
      <c r="P189">
        <v>36</v>
      </c>
      <c r="R189" t="s">
        <v>250</v>
      </c>
      <c r="T189" t="s">
        <v>43</v>
      </c>
      <c r="U189" s="11">
        <v>0</v>
      </c>
    </row>
    <row r="190" spans="14:23" ht="15.75" x14ac:dyDescent="0.2">
      <c r="N190">
        <v>5</v>
      </c>
      <c r="O190" t="s">
        <v>175</v>
      </c>
      <c r="P190">
        <v>37</v>
      </c>
      <c r="R190" t="s">
        <v>250</v>
      </c>
      <c r="T190" t="s">
        <v>4</v>
      </c>
      <c r="U190" s="48">
        <f>+AVERAGE(U187:U189)</f>
        <v>0</v>
      </c>
      <c r="V190" t="s">
        <v>33</v>
      </c>
      <c r="W190" t="s">
        <v>253</v>
      </c>
    </row>
    <row r="191" spans="14:23" ht="15.75" x14ac:dyDescent="0.2">
      <c r="N191">
        <v>5</v>
      </c>
      <c r="O191" t="s">
        <v>175</v>
      </c>
      <c r="P191">
        <v>38</v>
      </c>
      <c r="R191" t="s">
        <v>251</v>
      </c>
      <c r="S191" t="s">
        <v>49</v>
      </c>
      <c r="T191" t="s">
        <v>37</v>
      </c>
      <c r="U191" s="11">
        <v>0</v>
      </c>
    </row>
    <row r="192" spans="14:23" ht="15.75" x14ac:dyDescent="0.2">
      <c r="N192">
        <v>5</v>
      </c>
      <c r="O192" t="s">
        <v>175</v>
      </c>
      <c r="P192">
        <v>39</v>
      </c>
      <c r="R192" t="s">
        <v>251</v>
      </c>
      <c r="T192" t="s">
        <v>12</v>
      </c>
      <c r="U192" s="11">
        <v>0</v>
      </c>
    </row>
    <row r="193" spans="14:23" ht="15.75" x14ac:dyDescent="0.2">
      <c r="N193">
        <v>5</v>
      </c>
      <c r="O193" t="s">
        <v>175</v>
      </c>
      <c r="P193">
        <v>40</v>
      </c>
      <c r="R193" t="s">
        <v>251</v>
      </c>
      <c r="T193" t="s">
        <v>52</v>
      </c>
      <c r="U193" s="11">
        <v>0</v>
      </c>
    </row>
    <row r="194" spans="14:23" ht="15.75" x14ac:dyDescent="0.2">
      <c r="N194">
        <v>5</v>
      </c>
      <c r="O194" t="s">
        <v>175</v>
      </c>
      <c r="P194">
        <v>41</v>
      </c>
      <c r="R194" t="s">
        <v>251</v>
      </c>
      <c r="T194" t="s">
        <v>4</v>
      </c>
      <c r="U194" s="48">
        <f>+AVERAGE(U191:U193)</f>
        <v>0</v>
      </c>
      <c r="V194" t="s">
        <v>49</v>
      </c>
      <c r="W194" t="s">
        <v>254</v>
      </c>
    </row>
    <row r="195" spans="14:23" ht="15.75" x14ac:dyDescent="0.2">
      <c r="N195">
        <v>6</v>
      </c>
      <c r="O195" t="s">
        <v>176</v>
      </c>
      <c r="P195">
        <v>1</v>
      </c>
      <c r="R195" t="s">
        <v>185</v>
      </c>
      <c r="S195" t="s">
        <v>18</v>
      </c>
      <c r="T195" t="s">
        <v>74</v>
      </c>
      <c r="U195" s="11">
        <v>0</v>
      </c>
    </row>
    <row r="196" spans="14:23" ht="15.75" x14ac:dyDescent="0.2">
      <c r="N196">
        <v>6</v>
      </c>
      <c r="O196" t="s">
        <v>176</v>
      </c>
      <c r="P196">
        <v>2</v>
      </c>
      <c r="R196" t="s">
        <v>185</v>
      </c>
      <c r="T196" t="s">
        <v>64</v>
      </c>
      <c r="U196" s="11">
        <v>0</v>
      </c>
    </row>
    <row r="197" spans="14:23" ht="15.75" x14ac:dyDescent="0.2">
      <c r="N197">
        <v>6</v>
      </c>
      <c r="O197" t="s">
        <v>176</v>
      </c>
      <c r="P197">
        <v>3</v>
      </c>
      <c r="R197" t="s">
        <v>185</v>
      </c>
      <c r="T197" t="s">
        <v>65</v>
      </c>
      <c r="U197" s="11">
        <v>0</v>
      </c>
    </row>
    <row r="198" spans="14:23" ht="15.75" x14ac:dyDescent="0.2">
      <c r="N198">
        <v>6</v>
      </c>
      <c r="O198" t="s">
        <v>176</v>
      </c>
      <c r="P198">
        <v>4</v>
      </c>
      <c r="R198" t="s">
        <v>185</v>
      </c>
      <c r="T198" t="s">
        <v>4</v>
      </c>
      <c r="U198" s="48">
        <f>+AVERAGE(U195:U197)</f>
        <v>0</v>
      </c>
      <c r="V198" t="s">
        <v>18</v>
      </c>
      <c r="W198" t="s">
        <v>232</v>
      </c>
    </row>
    <row r="199" spans="14:23" ht="15.75" x14ac:dyDescent="0.2">
      <c r="N199">
        <v>6</v>
      </c>
      <c r="O199" t="s">
        <v>176</v>
      </c>
      <c r="P199">
        <v>5</v>
      </c>
      <c r="R199" t="s">
        <v>186</v>
      </c>
      <c r="S199" t="s">
        <v>19</v>
      </c>
      <c r="T199" t="s">
        <v>67</v>
      </c>
      <c r="U199" s="11">
        <v>0</v>
      </c>
    </row>
    <row r="200" spans="14:23" ht="15.75" x14ac:dyDescent="0.2">
      <c r="N200">
        <v>6</v>
      </c>
      <c r="O200" t="s">
        <v>176</v>
      </c>
      <c r="P200">
        <v>6</v>
      </c>
      <c r="R200" t="s">
        <v>186</v>
      </c>
      <c r="T200" t="s">
        <v>5</v>
      </c>
      <c r="U200" s="11">
        <v>0</v>
      </c>
    </row>
    <row r="201" spans="14:23" ht="15.75" x14ac:dyDescent="0.2">
      <c r="N201">
        <v>6</v>
      </c>
      <c r="O201" t="s">
        <v>176</v>
      </c>
      <c r="P201">
        <v>7</v>
      </c>
      <c r="R201" t="s">
        <v>186</v>
      </c>
      <c r="T201" t="s">
        <v>54</v>
      </c>
      <c r="U201" s="11">
        <v>0</v>
      </c>
    </row>
    <row r="202" spans="14:23" ht="15.75" x14ac:dyDescent="0.2">
      <c r="N202">
        <v>6</v>
      </c>
      <c r="O202" t="s">
        <v>176</v>
      </c>
      <c r="P202">
        <v>8</v>
      </c>
      <c r="R202" t="s">
        <v>186</v>
      </c>
      <c r="T202" t="s">
        <v>63</v>
      </c>
      <c r="U202" s="11">
        <v>0</v>
      </c>
    </row>
    <row r="203" spans="14:23" ht="15.75" x14ac:dyDescent="0.2">
      <c r="N203">
        <v>6</v>
      </c>
      <c r="O203" t="s">
        <v>176</v>
      </c>
      <c r="P203">
        <v>9</v>
      </c>
      <c r="R203" t="s">
        <v>186</v>
      </c>
      <c r="T203" t="s">
        <v>62</v>
      </c>
      <c r="U203" s="11">
        <v>0</v>
      </c>
    </row>
    <row r="204" spans="14:23" ht="15.75" x14ac:dyDescent="0.2">
      <c r="N204">
        <v>6</v>
      </c>
      <c r="O204" t="s">
        <v>176</v>
      </c>
      <c r="P204">
        <v>10</v>
      </c>
      <c r="R204" t="s">
        <v>186</v>
      </c>
      <c r="T204" t="s">
        <v>4</v>
      </c>
      <c r="U204" s="48">
        <f>+AVERAGE(U201:U203)</f>
        <v>0</v>
      </c>
      <c r="V204" t="s">
        <v>19</v>
      </c>
      <c r="W204" t="s">
        <v>233</v>
      </c>
    </row>
    <row r="205" spans="14:23" ht="15.75" x14ac:dyDescent="0.2">
      <c r="N205">
        <v>6</v>
      </c>
      <c r="O205" t="s">
        <v>176</v>
      </c>
      <c r="P205">
        <v>11</v>
      </c>
      <c r="R205" t="s">
        <v>187</v>
      </c>
      <c r="S205" t="s">
        <v>28</v>
      </c>
      <c r="T205" t="s">
        <v>29</v>
      </c>
      <c r="U205" s="11">
        <v>0</v>
      </c>
    </row>
    <row r="206" spans="14:23" ht="15.75" x14ac:dyDescent="0.2">
      <c r="N206">
        <v>6</v>
      </c>
      <c r="O206" t="s">
        <v>176</v>
      </c>
      <c r="P206">
        <v>12</v>
      </c>
      <c r="R206" t="s">
        <v>187</v>
      </c>
      <c r="T206" t="s">
        <v>30</v>
      </c>
      <c r="U206" s="11">
        <v>0</v>
      </c>
    </row>
    <row r="207" spans="14:23" ht="15.75" x14ac:dyDescent="0.2">
      <c r="N207">
        <v>6</v>
      </c>
      <c r="O207" t="s">
        <v>176</v>
      </c>
      <c r="P207">
        <v>13</v>
      </c>
      <c r="R207" t="s">
        <v>187</v>
      </c>
      <c r="T207" t="s">
        <v>31</v>
      </c>
      <c r="U207" s="11">
        <v>0</v>
      </c>
    </row>
    <row r="208" spans="14:23" ht="15.75" x14ac:dyDescent="0.2">
      <c r="N208">
        <v>6</v>
      </c>
      <c r="O208" t="s">
        <v>176</v>
      </c>
      <c r="P208">
        <v>14</v>
      </c>
      <c r="R208" t="s">
        <v>187</v>
      </c>
      <c r="T208" t="s">
        <v>32</v>
      </c>
      <c r="U208" s="11">
        <v>0</v>
      </c>
    </row>
    <row r="209" spans="14:23" ht="15.75" x14ac:dyDescent="0.2">
      <c r="N209">
        <v>6</v>
      </c>
      <c r="O209" t="s">
        <v>176</v>
      </c>
      <c r="P209">
        <v>15</v>
      </c>
      <c r="R209" t="s">
        <v>187</v>
      </c>
      <c r="T209" t="s">
        <v>4</v>
      </c>
      <c r="U209" s="48">
        <f>+AVERAGE(U206:U208)</f>
        <v>0</v>
      </c>
      <c r="V209" t="s">
        <v>28</v>
      </c>
      <c r="W209" t="s">
        <v>234</v>
      </c>
    </row>
    <row r="210" spans="14:23" ht="15.75" x14ac:dyDescent="0.2">
      <c r="N210">
        <v>6</v>
      </c>
      <c r="O210" t="s">
        <v>176</v>
      </c>
      <c r="P210">
        <v>16</v>
      </c>
      <c r="R210" t="s">
        <v>188</v>
      </c>
      <c r="S210" t="s">
        <v>6</v>
      </c>
      <c r="T210" t="s">
        <v>7</v>
      </c>
      <c r="U210" s="11">
        <v>0</v>
      </c>
    </row>
    <row r="211" spans="14:23" ht="15.75" x14ac:dyDescent="0.2">
      <c r="N211">
        <v>6</v>
      </c>
      <c r="O211" t="s">
        <v>176</v>
      </c>
      <c r="P211">
        <v>17</v>
      </c>
      <c r="R211" t="s">
        <v>188</v>
      </c>
      <c r="T211" t="s">
        <v>8</v>
      </c>
      <c r="U211" s="11">
        <v>0</v>
      </c>
    </row>
    <row r="212" spans="14:23" ht="15.75" x14ac:dyDescent="0.2">
      <c r="N212">
        <v>6</v>
      </c>
      <c r="O212" t="s">
        <v>176</v>
      </c>
      <c r="P212">
        <v>18</v>
      </c>
      <c r="R212" t="s">
        <v>188</v>
      </c>
      <c r="T212" t="s">
        <v>9</v>
      </c>
      <c r="U212" s="11">
        <v>0</v>
      </c>
    </row>
    <row r="213" spans="14:23" ht="15.75" x14ac:dyDescent="0.2">
      <c r="N213">
        <v>6</v>
      </c>
      <c r="O213" t="s">
        <v>176</v>
      </c>
      <c r="P213">
        <v>19</v>
      </c>
      <c r="R213" t="s">
        <v>188</v>
      </c>
      <c r="T213" t="s">
        <v>56</v>
      </c>
      <c r="U213" s="11">
        <v>0</v>
      </c>
    </row>
    <row r="214" spans="14:23" ht="15.75" x14ac:dyDescent="0.2">
      <c r="N214">
        <v>6</v>
      </c>
      <c r="O214" t="s">
        <v>176</v>
      </c>
      <c r="P214">
        <v>20</v>
      </c>
      <c r="R214" t="s">
        <v>188</v>
      </c>
      <c r="T214" t="s">
        <v>4</v>
      </c>
      <c r="U214" s="48">
        <f>+AVERAGE(U211:U213)</f>
        <v>0</v>
      </c>
      <c r="V214" t="s">
        <v>6</v>
      </c>
      <c r="W214" t="s">
        <v>235</v>
      </c>
    </row>
    <row r="215" spans="14:23" ht="15.75" x14ac:dyDescent="0.2">
      <c r="N215">
        <v>6</v>
      </c>
      <c r="O215" t="s">
        <v>176</v>
      </c>
      <c r="P215">
        <v>21</v>
      </c>
      <c r="R215" t="s">
        <v>189</v>
      </c>
      <c r="S215" t="s">
        <v>22</v>
      </c>
      <c r="T215" t="s">
        <v>24</v>
      </c>
      <c r="U215" s="11">
        <v>0</v>
      </c>
    </row>
    <row r="216" spans="14:23" ht="15.75" x14ac:dyDescent="0.2">
      <c r="N216">
        <v>6</v>
      </c>
      <c r="O216" t="s">
        <v>176</v>
      </c>
      <c r="P216">
        <v>22</v>
      </c>
      <c r="R216" t="s">
        <v>189</v>
      </c>
      <c r="T216" t="s">
        <v>38</v>
      </c>
      <c r="U216" s="11">
        <v>0</v>
      </c>
    </row>
    <row r="217" spans="14:23" ht="15.75" x14ac:dyDescent="0.2">
      <c r="N217">
        <v>6</v>
      </c>
      <c r="O217" t="s">
        <v>176</v>
      </c>
      <c r="P217">
        <v>23</v>
      </c>
      <c r="R217" t="s">
        <v>189</v>
      </c>
      <c r="T217" t="s">
        <v>57</v>
      </c>
      <c r="U217" s="11">
        <v>0</v>
      </c>
    </row>
    <row r="218" spans="14:23" ht="15.75" x14ac:dyDescent="0.2">
      <c r="N218">
        <v>6</v>
      </c>
      <c r="O218" t="s">
        <v>176</v>
      </c>
      <c r="P218">
        <v>24</v>
      </c>
      <c r="R218" t="s">
        <v>189</v>
      </c>
      <c r="T218" t="s">
        <v>39</v>
      </c>
      <c r="U218" s="11">
        <v>0</v>
      </c>
    </row>
    <row r="219" spans="14:23" ht="15.75" x14ac:dyDescent="0.2">
      <c r="N219">
        <v>6</v>
      </c>
      <c r="O219" t="s">
        <v>176</v>
      </c>
      <c r="P219">
        <v>25</v>
      </c>
      <c r="R219" t="s">
        <v>189</v>
      </c>
      <c r="T219" t="s">
        <v>4</v>
      </c>
      <c r="U219" s="48">
        <f>+AVERAGE(U216:U218)</f>
        <v>0</v>
      </c>
      <c r="V219" t="s">
        <v>22</v>
      </c>
      <c r="W219" t="s">
        <v>244</v>
      </c>
    </row>
    <row r="220" spans="14:23" ht="15.75" x14ac:dyDescent="0.2">
      <c r="N220">
        <v>6</v>
      </c>
      <c r="O220" t="s">
        <v>176</v>
      </c>
      <c r="P220">
        <v>26</v>
      </c>
      <c r="R220" t="s">
        <v>190</v>
      </c>
      <c r="S220" t="s">
        <v>69</v>
      </c>
      <c r="T220" t="s">
        <v>58</v>
      </c>
      <c r="U220" s="11">
        <v>0</v>
      </c>
    </row>
    <row r="221" spans="14:23" ht="15.75" x14ac:dyDescent="0.2">
      <c r="N221">
        <v>6</v>
      </c>
      <c r="O221" t="s">
        <v>176</v>
      </c>
      <c r="P221">
        <v>27</v>
      </c>
      <c r="R221" t="s">
        <v>190</v>
      </c>
      <c r="T221" t="s">
        <v>59</v>
      </c>
      <c r="U221" s="11">
        <v>0</v>
      </c>
    </row>
    <row r="222" spans="14:23" ht="15.75" x14ac:dyDescent="0.2">
      <c r="N222">
        <v>6</v>
      </c>
      <c r="O222" t="s">
        <v>176</v>
      </c>
      <c r="P222">
        <v>28</v>
      </c>
      <c r="R222" t="s">
        <v>190</v>
      </c>
      <c r="T222" t="s">
        <v>36</v>
      </c>
      <c r="U222" s="11">
        <v>0</v>
      </c>
    </row>
    <row r="223" spans="14:23" ht="15.75" x14ac:dyDescent="0.2">
      <c r="N223">
        <v>6</v>
      </c>
      <c r="O223" t="s">
        <v>176</v>
      </c>
      <c r="P223">
        <v>29</v>
      </c>
      <c r="R223" t="s">
        <v>190</v>
      </c>
      <c r="T223" t="s">
        <v>4</v>
      </c>
      <c r="U223" s="48">
        <f>+AVERAGE(U220:U222)</f>
        <v>0</v>
      </c>
      <c r="V223" t="s">
        <v>69</v>
      </c>
      <c r="W223" t="s">
        <v>245</v>
      </c>
    </row>
    <row r="224" spans="14:23" ht="15.75" x14ac:dyDescent="0.2">
      <c r="N224">
        <v>6</v>
      </c>
      <c r="O224" t="s">
        <v>176</v>
      </c>
      <c r="P224">
        <v>30</v>
      </c>
      <c r="R224" t="s">
        <v>249</v>
      </c>
      <c r="S224" t="s">
        <v>44</v>
      </c>
      <c r="T224" t="s">
        <v>45</v>
      </c>
      <c r="U224" s="11">
        <v>0</v>
      </c>
    </row>
    <row r="225" spans="14:23" ht="15.75" x14ac:dyDescent="0.2">
      <c r="N225">
        <v>6</v>
      </c>
      <c r="O225" t="s">
        <v>176</v>
      </c>
      <c r="P225">
        <v>31</v>
      </c>
      <c r="R225" t="s">
        <v>249</v>
      </c>
      <c r="T225" t="s">
        <v>46</v>
      </c>
      <c r="U225" s="11">
        <v>0</v>
      </c>
    </row>
    <row r="226" spans="14:23" ht="15.75" x14ac:dyDescent="0.2">
      <c r="N226">
        <v>6</v>
      </c>
      <c r="O226" t="s">
        <v>176</v>
      </c>
      <c r="P226">
        <v>32</v>
      </c>
      <c r="R226" t="s">
        <v>249</v>
      </c>
      <c r="T226" t="s">
        <v>66</v>
      </c>
      <c r="U226" s="11">
        <v>0</v>
      </c>
    </row>
    <row r="227" spans="14:23" ht="15.75" x14ac:dyDescent="0.2">
      <c r="N227">
        <v>6</v>
      </c>
      <c r="O227" t="s">
        <v>176</v>
      </c>
      <c r="P227">
        <v>33</v>
      </c>
      <c r="R227" t="s">
        <v>249</v>
      </c>
      <c r="T227" t="s">
        <v>4</v>
      </c>
      <c r="U227" s="48">
        <f>+AVERAGE(U224:U226)</f>
        <v>0</v>
      </c>
      <c r="V227" t="s">
        <v>44</v>
      </c>
      <c r="W227" t="s">
        <v>252</v>
      </c>
    </row>
    <row r="228" spans="14:23" ht="15.75" x14ac:dyDescent="0.2">
      <c r="N228">
        <v>6</v>
      </c>
      <c r="O228" t="s">
        <v>176</v>
      </c>
      <c r="P228">
        <v>34</v>
      </c>
      <c r="R228" t="s">
        <v>250</v>
      </c>
      <c r="S228" t="s">
        <v>33</v>
      </c>
      <c r="T228" t="s">
        <v>23</v>
      </c>
      <c r="U228" s="11">
        <v>0</v>
      </c>
    </row>
    <row r="229" spans="14:23" ht="15.75" x14ac:dyDescent="0.2">
      <c r="N229">
        <v>6</v>
      </c>
      <c r="O229" t="s">
        <v>176</v>
      </c>
      <c r="P229">
        <v>35</v>
      </c>
      <c r="R229" t="s">
        <v>250</v>
      </c>
      <c r="T229" t="s">
        <v>50</v>
      </c>
      <c r="U229" s="11">
        <v>0</v>
      </c>
    </row>
    <row r="230" spans="14:23" ht="15.75" x14ac:dyDescent="0.2">
      <c r="N230">
        <v>6</v>
      </c>
      <c r="O230" t="s">
        <v>176</v>
      </c>
      <c r="P230">
        <v>36</v>
      </c>
      <c r="R230" t="s">
        <v>250</v>
      </c>
      <c r="T230" t="s">
        <v>43</v>
      </c>
      <c r="U230" s="11">
        <v>0</v>
      </c>
    </row>
    <row r="231" spans="14:23" ht="15.75" x14ac:dyDescent="0.2">
      <c r="N231">
        <v>6</v>
      </c>
      <c r="O231" t="s">
        <v>176</v>
      </c>
      <c r="P231">
        <v>37</v>
      </c>
      <c r="R231" t="s">
        <v>250</v>
      </c>
      <c r="T231" t="s">
        <v>4</v>
      </c>
      <c r="U231" s="48">
        <f>+AVERAGE(U228:U230)</f>
        <v>0</v>
      </c>
      <c r="V231" t="s">
        <v>33</v>
      </c>
      <c r="W231" t="s">
        <v>253</v>
      </c>
    </row>
    <row r="232" spans="14:23" ht="15.75" x14ac:dyDescent="0.2">
      <c r="N232">
        <v>6</v>
      </c>
      <c r="O232" t="s">
        <v>176</v>
      </c>
      <c r="P232">
        <v>38</v>
      </c>
      <c r="R232" t="s">
        <v>251</v>
      </c>
      <c r="S232" t="s">
        <v>49</v>
      </c>
      <c r="T232" t="s">
        <v>37</v>
      </c>
      <c r="U232" s="11">
        <v>0</v>
      </c>
    </row>
    <row r="233" spans="14:23" ht="15.75" x14ac:dyDescent="0.2">
      <c r="N233">
        <v>6</v>
      </c>
      <c r="O233" t="s">
        <v>176</v>
      </c>
      <c r="P233">
        <v>39</v>
      </c>
      <c r="R233" t="s">
        <v>251</v>
      </c>
      <c r="T233" t="s">
        <v>12</v>
      </c>
      <c r="U233" s="11">
        <v>0</v>
      </c>
    </row>
    <row r="234" spans="14:23" ht="15.75" x14ac:dyDescent="0.2">
      <c r="N234">
        <v>6</v>
      </c>
      <c r="O234" t="s">
        <v>176</v>
      </c>
      <c r="P234">
        <v>40</v>
      </c>
      <c r="R234" t="s">
        <v>251</v>
      </c>
      <c r="T234" t="s">
        <v>52</v>
      </c>
      <c r="U234" s="11">
        <v>0</v>
      </c>
    </row>
    <row r="235" spans="14:23" ht="15.75" x14ac:dyDescent="0.2">
      <c r="N235">
        <v>6</v>
      </c>
      <c r="O235" t="s">
        <v>176</v>
      </c>
      <c r="P235">
        <v>41</v>
      </c>
      <c r="R235" t="s">
        <v>251</v>
      </c>
      <c r="T235" t="s">
        <v>4</v>
      </c>
      <c r="U235" s="48">
        <f>+AVERAGE(U232:U234)</f>
        <v>0</v>
      </c>
      <c r="V235" t="s">
        <v>49</v>
      </c>
      <c r="W235" t="s">
        <v>254</v>
      </c>
    </row>
    <row r="236" spans="14:23" ht="15.75" x14ac:dyDescent="0.2">
      <c r="N236">
        <v>7</v>
      </c>
      <c r="O236" t="s">
        <v>177</v>
      </c>
      <c r="P236">
        <v>1</v>
      </c>
      <c r="Q236">
        <v>1</v>
      </c>
      <c r="R236" t="s">
        <v>185</v>
      </c>
      <c r="S236" t="s">
        <v>18</v>
      </c>
      <c r="T236" t="s">
        <v>74</v>
      </c>
      <c r="U236" s="11">
        <v>0</v>
      </c>
    </row>
    <row r="237" spans="14:23" ht="15.75" x14ac:dyDescent="0.2">
      <c r="N237">
        <v>7</v>
      </c>
      <c r="O237" t="s">
        <v>177</v>
      </c>
      <c r="P237">
        <v>2</v>
      </c>
      <c r="Q237">
        <v>1</v>
      </c>
      <c r="R237" t="s">
        <v>185</v>
      </c>
      <c r="T237" t="s">
        <v>64</v>
      </c>
      <c r="U237" s="11">
        <v>0</v>
      </c>
    </row>
    <row r="238" spans="14:23" ht="15.75" x14ac:dyDescent="0.2">
      <c r="N238">
        <v>7</v>
      </c>
      <c r="O238" t="s">
        <v>177</v>
      </c>
      <c r="P238">
        <v>3</v>
      </c>
      <c r="Q238">
        <v>1</v>
      </c>
      <c r="R238" t="s">
        <v>185</v>
      </c>
      <c r="T238" t="s">
        <v>65</v>
      </c>
      <c r="U238" s="11">
        <v>0</v>
      </c>
    </row>
    <row r="239" spans="14:23" ht="15.75" x14ac:dyDescent="0.2">
      <c r="N239">
        <v>7</v>
      </c>
      <c r="O239" t="s">
        <v>177</v>
      </c>
      <c r="P239">
        <v>4</v>
      </c>
      <c r="Q239">
        <v>1</v>
      </c>
      <c r="R239" t="s">
        <v>185</v>
      </c>
      <c r="T239" t="s">
        <v>4</v>
      </c>
      <c r="U239" s="49">
        <f>+AVERAGE(U236:U238)</f>
        <v>0</v>
      </c>
      <c r="V239" t="s">
        <v>18</v>
      </c>
      <c r="W239" t="s">
        <v>232</v>
      </c>
    </row>
    <row r="240" spans="14:23" ht="15.75" x14ac:dyDescent="0.2">
      <c r="N240">
        <v>7</v>
      </c>
      <c r="O240" t="s">
        <v>177</v>
      </c>
      <c r="P240">
        <v>5</v>
      </c>
      <c r="Q240">
        <v>2</v>
      </c>
      <c r="R240" t="s">
        <v>186</v>
      </c>
      <c r="S240" t="s">
        <v>19</v>
      </c>
      <c r="T240" t="s">
        <v>67</v>
      </c>
      <c r="U240" s="11">
        <v>0</v>
      </c>
    </row>
    <row r="241" spans="14:23" ht="15.75" x14ac:dyDescent="0.2">
      <c r="N241">
        <v>7</v>
      </c>
      <c r="O241" t="s">
        <v>177</v>
      </c>
      <c r="P241">
        <v>6</v>
      </c>
      <c r="Q241">
        <v>2</v>
      </c>
      <c r="R241" t="s">
        <v>186</v>
      </c>
      <c r="T241" t="s">
        <v>5</v>
      </c>
      <c r="U241" s="11">
        <v>0</v>
      </c>
    </row>
    <row r="242" spans="14:23" ht="15.75" x14ac:dyDescent="0.2">
      <c r="N242">
        <v>7</v>
      </c>
      <c r="O242" t="s">
        <v>177</v>
      </c>
      <c r="P242">
        <v>7</v>
      </c>
      <c r="Q242">
        <v>2</v>
      </c>
      <c r="R242" t="s">
        <v>186</v>
      </c>
      <c r="T242" t="s">
        <v>54</v>
      </c>
      <c r="U242" s="11">
        <v>0</v>
      </c>
    </row>
    <row r="243" spans="14:23" ht="15.75" x14ac:dyDescent="0.2">
      <c r="N243">
        <v>7</v>
      </c>
      <c r="O243" t="s">
        <v>177</v>
      </c>
      <c r="P243">
        <v>8</v>
      </c>
      <c r="Q243">
        <v>2</v>
      </c>
      <c r="R243" t="s">
        <v>186</v>
      </c>
      <c r="T243" t="s">
        <v>63</v>
      </c>
      <c r="U243" s="11">
        <v>0</v>
      </c>
    </row>
    <row r="244" spans="14:23" ht="15.75" x14ac:dyDescent="0.2">
      <c r="N244">
        <v>7</v>
      </c>
      <c r="O244" t="s">
        <v>177</v>
      </c>
      <c r="P244">
        <v>9</v>
      </c>
      <c r="Q244">
        <v>2</v>
      </c>
      <c r="R244" t="s">
        <v>186</v>
      </c>
      <c r="T244" t="s">
        <v>62</v>
      </c>
      <c r="U244" s="11">
        <v>0</v>
      </c>
    </row>
    <row r="245" spans="14:23" ht="15.75" x14ac:dyDescent="0.2">
      <c r="N245">
        <v>7</v>
      </c>
      <c r="O245" t="s">
        <v>177</v>
      </c>
      <c r="P245">
        <v>10</v>
      </c>
      <c r="Q245">
        <v>2</v>
      </c>
      <c r="R245" t="s">
        <v>186</v>
      </c>
      <c r="T245" t="s">
        <v>4</v>
      </c>
      <c r="U245" s="49">
        <f>+AVERAGE(U240:U244)</f>
        <v>0</v>
      </c>
      <c r="V245" t="s">
        <v>19</v>
      </c>
      <c r="W245" t="s">
        <v>233</v>
      </c>
    </row>
    <row r="246" spans="14:23" ht="15.75" x14ac:dyDescent="0.2">
      <c r="N246">
        <v>7</v>
      </c>
      <c r="O246" t="s">
        <v>177</v>
      </c>
      <c r="P246">
        <v>11</v>
      </c>
      <c r="Q246">
        <v>3</v>
      </c>
      <c r="R246" t="s">
        <v>187</v>
      </c>
      <c r="S246" t="s">
        <v>28</v>
      </c>
      <c r="T246" t="s">
        <v>29</v>
      </c>
      <c r="U246" s="11">
        <v>0</v>
      </c>
    </row>
    <row r="247" spans="14:23" ht="15.75" x14ac:dyDescent="0.2">
      <c r="N247">
        <v>7</v>
      </c>
      <c r="O247" t="s">
        <v>177</v>
      </c>
      <c r="P247">
        <v>12</v>
      </c>
      <c r="Q247">
        <v>3</v>
      </c>
      <c r="R247" t="s">
        <v>187</v>
      </c>
      <c r="T247" t="s">
        <v>30</v>
      </c>
      <c r="U247" s="11">
        <v>0</v>
      </c>
    </row>
    <row r="248" spans="14:23" ht="15.75" x14ac:dyDescent="0.2">
      <c r="N248">
        <v>7</v>
      </c>
      <c r="O248" t="s">
        <v>177</v>
      </c>
      <c r="P248">
        <v>13</v>
      </c>
      <c r="Q248">
        <v>3</v>
      </c>
      <c r="R248" t="s">
        <v>187</v>
      </c>
      <c r="T248" t="s">
        <v>31</v>
      </c>
      <c r="U248" s="11">
        <v>0</v>
      </c>
    </row>
    <row r="249" spans="14:23" ht="15.75" x14ac:dyDescent="0.2">
      <c r="N249">
        <v>7</v>
      </c>
      <c r="O249" t="s">
        <v>177</v>
      </c>
      <c r="P249">
        <v>14</v>
      </c>
      <c r="Q249">
        <v>3</v>
      </c>
      <c r="R249" t="s">
        <v>187</v>
      </c>
      <c r="T249" t="s">
        <v>32</v>
      </c>
      <c r="U249" s="11">
        <v>0</v>
      </c>
    </row>
    <row r="250" spans="14:23" ht="15.75" x14ac:dyDescent="0.2">
      <c r="N250">
        <v>7</v>
      </c>
      <c r="O250" t="s">
        <v>177</v>
      </c>
      <c r="P250">
        <v>15</v>
      </c>
      <c r="Q250">
        <v>3</v>
      </c>
      <c r="R250" t="s">
        <v>187</v>
      </c>
      <c r="T250" t="s">
        <v>4</v>
      </c>
      <c r="U250" s="49">
        <f>+AVERAGE(U246:U249)</f>
        <v>0</v>
      </c>
      <c r="V250" t="s">
        <v>28</v>
      </c>
      <c r="W250" t="s">
        <v>234</v>
      </c>
    </row>
    <row r="251" spans="14:23" ht="15.75" x14ac:dyDescent="0.2">
      <c r="N251">
        <v>7</v>
      </c>
      <c r="O251" t="s">
        <v>177</v>
      </c>
      <c r="P251">
        <v>16</v>
      </c>
      <c r="Q251">
        <v>4</v>
      </c>
      <c r="R251" t="s">
        <v>188</v>
      </c>
      <c r="S251" t="s">
        <v>6</v>
      </c>
      <c r="T251" t="s">
        <v>7</v>
      </c>
      <c r="U251" s="11">
        <v>0</v>
      </c>
    </row>
    <row r="252" spans="14:23" ht="15.75" x14ac:dyDescent="0.2">
      <c r="N252">
        <v>7</v>
      </c>
      <c r="O252" t="s">
        <v>177</v>
      </c>
      <c r="P252">
        <v>17</v>
      </c>
      <c r="Q252">
        <v>4</v>
      </c>
      <c r="R252" t="s">
        <v>188</v>
      </c>
      <c r="T252" t="s">
        <v>8</v>
      </c>
      <c r="U252" s="11">
        <v>0</v>
      </c>
    </row>
    <row r="253" spans="14:23" ht="15.75" x14ac:dyDescent="0.2">
      <c r="N253">
        <v>7</v>
      </c>
      <c r="O253" t="s">
        <v>177</v>
      </c>
      <c r="P253">
        <v>18</v>
      </c>
      <c r="Q253">
        <v>4</v>
      </c>
      <c r="R253" t="s">
        <v>188</v>
      </c>
      <c r="T253" t="s">
        <v>47</v>
      </c>
      <c r="U253" s="11">
        <v>0</v>
      </c>
    </row>
    <row r="254" spans="14:23" ht="15.75" x14ac:dyDescent="0.2">
      <c r="N254">
        <v>7</v>
      </c>
      <c r="O254" t="s">
        <v>177</v>
      </c>
      <c r="P254">
        <v>19</v>
      </c>
      <c r="Q254">
        <v>4</v>
      </c>
      <c r="R254" t="s">
        <v>188</v>
      </c>
      <c r="T254" t="s">
        <v>10</v>
      </c>
      <c r="U254" s="11">
        <v>0</v>
      </c>
    </row>
    <row r="255" spans="14:23" ht="15.75" x14ac:dyDescent="0.2">
      <c r="N255">
        <v>7</v>
      </c>
      <c r="O255" t="s">
        <v>177</v>
      </c>
      <c r="P255">
        <v>20</v>
      </c>
      <c r="Q255">
        <v>4</v>
      </c>
      <c r="R255" t="s">
        <v>188</v>
      </c>
      <c r="T255" t="s">
        <v>4</v>
      </c>
      <c r="U255" s="49">
        <f>+AVERAGE(U251:U254)</f>
        <v>0</v>
      </c>
      <c r="V255" t="s">
        <v>6</v>
      </c>
      <c r="W255" t="s">
        <v>235</v>
      </c>
    </row>
    <row r="256" spans="14:23" ht="15.75" x14ac:dyDescent="0.2">
      <c r="N256">
        <v>7</v>
      </c>
      <c r="O256" t="s">
        <v>177</v>
      </c>
      <c r="P256">
        <v>21</v>
      </c>
      <c r="Q256">
        <v>5</v>
      </c>
      <c r="R256" t="s">
        <v>189</v>
      </c>
      <c r="S256" t="s">
        <v>22</v>
      </c>
      <c r="T256" t="s">
        <v>24</v>
      </c>
      <c r="U256" s="11">
        <v>0</v>
      </c>
    </row>
    <row r="257" spans="14:23" ht="15.75" x14ac:dyDescent="0.2">
      <c r="N257">
        <v>7</v>
      </c>
      <c r="O257" t="s">
        <v>177</v>
      </c>
      <c r="P257">
        <v>22</v>
      </c>
      <c r="Q257">
        <v>5</v>
      </c>
      <c r="R257" t="s">
        <v>189</v>
      </c>
      <c r="T257" t="s">
        <v>38</v>
      </c>
      <c r="U257" s="11">
        <v>0</v>
      </c>
    </row>
    <row r="258" spans="14:23" ht="15.75" x14ac:dyDescent="0.2">
      <c r="N258">
        <v>7</v>
      </c>
      <c r="O258" t="s">
        <v>177</v>
      </c>
      <c r="P258">
        <v>23</v>
      </c>
      <c r="Q258">
        <v>5</v>
      </c>
      <c r="R258" t="s">
        <v>189</v>
      </c>
      <c r="T258" t="s">
        <v>26</v>
      </c>
      <c r="U258" s="11">
        <v>0</v>
      </c>
    </row>
    <row r="259" spans="14:23" ht="15.75" x14ac:dyDescent="0.2">
      <c r="N259">
        <v>7</v>
      </c>
      <c r="O259" t="s">
        <v>177</v>
      </c>
      <c r="P259">
        <v>24</v>
      </c>
      <c r="Q259">
        <v>5</v>
      </c>
      <c r="R259" t="s">
        <v>189</v>
      </c>
      <c r="T259" t="s">
        <v>39</v>
      </c>
      <c r="U259" s="11">
        <v>0</v>
      </c>
    </row>
    <row r="260" spans="14:23" ht="15.75" x14ac:dyDescent="0.2">
      <c r="N260">
        <v>7</v>
      </c>
      <c r="O260" t="s">
        <v>177</v>
      </c>
      <c r="P260">
        <v>25</v>
      </c>
      <c r="Q260">
        <v>5</v>
      </c>
      <c r="R260" t="s">
        <v>189</v>
      </c>
      <c r="T260" t="s">
        <v>4</v>
      </c>
      <c r="U260" s="49">
        <f>+AVERAGE(U256:U259)</f>
        <v>0</v>
      </c>
      <c r="V260" t="s">
        <v>22</v>
      </c>
      <c r="W260" t="s">
        <v>244</v>
      </c>
    </row>
    <row r="261" spans="14:23" ht="15.75" x14ac:dyDescent="0.2">
      <c r="N261">
        <v>7</v>
      </c>
      <c r="O261" t="s">
        <v>177</v>
      </c>
      <c r="P261">
        <v>26</v>
      </c>
      <c r="Q261">
        <v>6</v>
      </c>
      <c r="R261" t="s">
        <v>190</v>
      </c>
      <c r="S261" t="s">
        <v>69</v>
      </c>
      <c r="T261" t="s">
        <v>55</v>
      </c>
      <c r="U261" s="11">
        <v>0</v>
      </c>
    </row>
    <row r="262" spans="14:23" ht="15.75" x14ac:dyDescent="0.2">
      <c r="N262">
        <v>7</v>
      </c>
      <c r="O262" t="s">
        <v>177</v>
      </c>
      <c r="P262">
        <v>27</v>
      </c>
      <c r="Q262">
        <v>6</v>
      </c>
      <c r="R262" t="s">
        <v>190</v>
      </c>
      <c r="T262" t="s">
        <v>35</v>
      </c>
      <c r="U262" s="11">
        <v>0</v>
      </c>
    </row>
    <row r="263" spans="14:23" ht="15.75" x14ac:dyDescent="0.2">
      <c r="N263">
        <v>7</v>
      </c>
      <c r="O263" t="s">
        <v>177</v>
      </c>
      <c r="P263">
        <v>28</v>
      </c>
      <c r="Q263">
        <v>6</v>
      </c>
      <c r="R263" t="s">
        <v>190</v>
      </c>
      <c r="T263" t="s">
        <v>36</v>
      </c>
      <c r="U263" s="11">
        <v>0</v>
      </c>
    </row>
    <row r="264" spans="14:23" ht="15.75" x14ac:dyDescent="0.2">
      <c r="N264">
        <v>7</v>
      </c>
      <c r="O264" t="s">
        <v>177</v>
      </c>
      <c r="P264">
        <v>29</v>
      </c>
      <c r="Q264">
        <v>6</v>
      </c>
      <c r="R264" t="s">
        <v>190</v>
      </c>
      <c r="T264" t="s">
        <v>4</v>
      </c>
      <c r="U264" s="49">
        <f>+AVERAGE(U261:U263)</f>
        <v>0</v>
      </c>
      <c r="V264" t="s">
        <v>69</v>
      </c>
      <c r="W264" t="s">
        <v>245</v>
      </c>
    </row>
    <row r="265" spans="14:23" ht="15.75" x14ac:dyDescent="0.2">
      <c r="N265">
        <v>7</v>
      </c>
      <c r="O265" t="s">
        <v>177</v>
      </c>
      <c r="P265">
        <v>30</v>
      </c>
      <c r="Q265">
        <v>7</v>
      </c>
      <c r="R265" t="s">
        <v>191</v>
      </c>
      <c r="S265" t="s">
        <v>20</v>
      </c>
      <c r="T265" t="s">
        <v>21</v>
      </c>
      <c r="U265" s="11">
        <v>0</v>
      </c>
    </row>
    <row r="266" spans="14:23" ht="15.75" x14ac:dyDescent="0.2">
      <c r="N266">
        <v>7</v>
      </c>
      <c r="O266" t="s">
        <v>177</v>
      </c>
      <c r="P266">
        <v>31</v>
      </c>
      <c r="Q266">
        <v>7</v>
      </c>
      <c r="R266" t="s">
        <v>191</v>
      </c>
      <c r="T266" t="s">
        <v>40</v>
      </c>
      <c r="U266" s="11">
        <v>0</v>
      </c>
    </row>
    <row r="267" spans="14:23" ht="15.75" x14ac:dyDescent="0.2">
      <c r="N267">
        <v>7</v>
      </c>
      <c r="O267" t="s">
        <v>177</v>
      </c>
      <c r="P267">
        <v>32</v>
      </c>
      <c r="Q267">
        <v>7</v>
      </c>
      <c r="R267" t="s">
        <v>191</v>
      </c>
      <c r="T267" t="s">
        <v>41</v>
      </c>
      <c r="U267" s="11">
        <v>0</v>
      </c>
    </row>
    <row r="268" spans="14:23" ht="15.75" x14ac:dyDescent="0.2">
      <c r="N268">
        <v>7</v>
      </c>
      <c r="O268" t="s">
        <v>177</v>
      </c>
      <c r="P268">
        <v>33</v>
      </c>
      <c r="Q268">
        <v>7</v>
      </c>
      <c r="R268" t="s">
        <v>191</v>
      </c>
      <c r="T268" t="s">
        <v>42</v>
      </c>
      <c r="U268" s="11">
        <v>0</v>
      </c>
    </row>
    <row r="269" spans="14:23" ht="15.75" x14ac:dyDescent="0.2">
      <c r="N269">
        <v>7</v>
      </c>
      <c r="O269" t="s">
        <v>177</v>
      </c>
      <c r="P269">
        <v>34</v>
      </c>
      <c r="Q269">
        <v>7</v>
      </c>
      <c r="R269" t="s">
        <v>191</v>
      </c>
      <c r="T269" t="s">
        <v>4</v>
      </c>
      <c r="U269" s="49">
        <f>+AVERAGE(U265:U268)</f>
        <v>0</v>
      </c>
      <c r="V269" t="s">
        <v>20</v>
      </c>
      <c r="W269" t="s">
        <v>246</v>
      </c>
    </row>
    <row r="270" spans="14:23" ht="15.75" x14ac:dyDescent="0.2">
      <c r="N270">
        <v>7</v>
      </c>
      <c r="O270" t="s">
        <v>177</v>
      </c>
      <c r="P270">
        <v>35</v>
      </c>
      <c r="Q270">
        <v>8</v>
      </c>
      <c r="R270" t="s">
        <v>192</v>
      </c>
      <c r="S270" t="s">
        <v>44</v>
      </c>
      <c r="T270" t="s">
        <v>45</v>
      </c>
      <c r="U270" s="11">
        <v>0</v>
      </c>
    </row>
    <row r="271" spans="14:23" ht="15.75" x14ac:dyDescent="0.2">
      <c r="N271">
        <v>7</v>
      </c>
      <c r="O271" t="s">
        <v>177</v>
      </c>
      <c r="P271">
        <v>36</v>
      </c>
      <c r="Q271">
        <v>8</v>
      </c>
      <c r="R271" t="s">
        <v>192</v>
      </c>
      <c r="T271" t="s">
        <v>46</v>
      </c>
      <c r="U271" s="11">
        <v>0</v>
      </c>
    </row>
    <row r="272" spans="14:23" ht="15.75" x14ac:dyDescent="0.2">
      <c r="N272">
        <v>7</v>
      </c>
      <c r="O272" t="s">
        <v>177</v>
      </c>
      <c r="P272">
        <v>37</v>
      </c>
      <c r="Q272">
        <v>8</v>
      </c>
      <c r="R272" t="s">
        <v>192</v>
      </c>
      <c r="T272" t="s">
        <v>66</v>
      </c>
      <c r="U272" s="11">
        <v>0</v>
      </c>
    </row>
    <row r="273" spans="14:23" ht="15.75" x14ac:dyDescent="0.2">
      <c r="N273">
        <v>7</v>
      </c>
      <c r="O273" t="s">
        <v>177</v>
      </c>
      <c r="P273">
        <v>38</v>
      </c>
      <c r="Q273">
        <v>8</v>
      </c>
      <c r="R273" t="s">
        <v>192</v>
      </c>
      <c r="T273" t="s">
        <v>4</v>
      </c>
      <c r="U273" s="49">
        <f>+AVERAGE(U270:U272)</f>
        <v>0</v>
      </c>
      <c r="V273" t="s">
        <v>44</v>
      </c>
      <c r="W273" t="s">
        <v>247</v>
      </c>
    </row>
    <row r="274" spans="14:23" ht="15.75" x14ac:dyDescent="0.2">
      <c r="N274">
        <v>7</v>
      </c>
      <c r="O274" t="s">
        <v>177</v>
      </c>
      <c r="P274">
        <v>39</v>
      </c>
      <c r="Q274">
        <v>9</v>
      </c>
      <c r="R274" t="s">
        <v>193</v>
      </c>
      <c r="S274" t="s">
        <v>33</v>
      </c>
      <c r="T274" t="s">
        <v>23</v>
      </c>
      <c r="U274" s="11">
        <v>0</v>
      </c>
    </row>
    <row r="275" spans="14:23" ht="15.75" x14ac:dyDescent="0.2">
      <c r="N275">
        <v>7</v>
      </c>
      <c r="O275" t="s">
        <v>177</v>
      </c>
      <c r="P275">
        <v>40</v>
      </c>
      <c r="Q275">
        <v>9</v>
      </c>
      <c r="R275" t="s">
        <v>193</v>
      </c>
      <c r="T275" t="s">
        <v>50</v>
      </c>
      <c r="U275" s="11">
        <v>0</v>
      </c>
    </row>
    <row r="276" spans="14:23" ht="15.75" x14ac:dyDescent="0.2">
      <c r="N276">
        <v>7</v>
      </c>
      <c r="O276" t="s">
        <v>177</v>
      </c>
      <c r="P276">
        <v>41</v>
      </c>
      <c r="Q276">
        <v>9</v>
      </c>
      <c r="R276" t="s">
        <v>193</v>
      </c>
      <c r="T276" t="s">
        <v>43</v>
      </c>
      <c r="U276" s="11">
        <v>0</v>
      </c>
    </row>
    <row r="277" spans="14:23" ht="15.75" x14ac:dyDescent="0.2">
      <c r="N277">
        <v>7</v>
      </c>
      <c r="O277" t="s">
        <v>177</v>
      </c>
      <c r="P277">
        <v>42</v>
      </c>
      <c r="Q277">
        <v>9</v>
      </c>
      <c r="R277" t="s">
        <v>193</v>
      </c>
      <c r="T277" t="s">
        <v>4</v>
      </c>
      <c r="U277" s="49">
        <f>+AVERAGE(U274:U276)</f>
        <v>0</v>
      </c>
      <c r="V277" t="s">
        <v>33</v>
      </c>
      <c r="W277" t="s">
        <v>248</v>
      </c>
    </row>
    <row r="278" spans="14:23" ht="15.75" x14ac:dyDescent="0.2">
      <c r="N278">
        <v>7</v>
      </c>
      <c r="O278" t="s">
        <v>177</v>
      </c>
      <c r="P278">
        <v>43</v>
      </c>
      <c r="Q278">
        <v>10</v>
      </c>
      <c r="R278" t="s">
        <v>194</v>
      </c>
      <c r="S278" t="s">
        <v>49</v>
      </c>
      <c r="T278" t="s">
        <v>37</v>
      </c>
      <c r="U278" s="11">
        <v>0</v>
      </c>
    </row>
    <row r="279" spans="14:23" ht="15.75" x14ac:dyDescent="0.2">
      <c r="N279">
        <v>7</v>
      </c>
      <c r="O279" t="s">
        <v>177</v>
      </c>
      <c r="P279">
        <v>44</v>
      </c>
      <c r="Q279">
        <v>10</v>
      </c>
      <c r="R279" t="s">
        <v>194</v>
      </c>
      <c r="T279" t="s">
        <v>12</v>
      </c>
      <c r="U279" s="11">
        <v>0</v>
      </c>
    </row>
    <row r="280" spans="14:23" ht="15.75" x14ac:dyDescent="0.2">
      <c r="N280">
        <v>7</v>
      </c>
      <c r="O280" t="s">
        <v>177</v>
      </c>
      <c r="P280">
        <v>45</v>
      </c>
      <c r="Q280">
        <v>10</v>
      </c>
      <c r="R280" t="s">
        <v>194</v>
      </c>
      <c r="T280" t="s">
        <v>52</v>
      </c>
      <c r="U280" s="11">
        <v>0</v>
      </c>
    </row>
    <row r="281" spans="14:23" ht="15.75" x14ac:dyDescent="0.2">
      <c r="N281">
        <v>7</v>
      </c>
      <c r="O281" t="s">
        <v>177</v>
      </c>
      <c r="P281">
        <v>46</v>
      </c>
      <c r="Q281">
        <v>10</v>
      </c>
      <c r="R281" t="s">
        <v>194</v>
      </c>
      <c r="T281" t="s">
        <v>4</v>
      </c>
      <c r="U281" s="49">
        <f>+AVERAGE(U278:U280)</f>
        <v>0</v>
      </c>
      <c r="V281" t="s">
        <v>49</v>
      </c>
      <c r="W281" t="s">
        <v>255</v>
      </c>
    </row>
  </sheetData>
  <sheetProtection selectLockedCells="1"/>
  <dataConsolidate/>
  <mergeCells count="2">
    <mergeCell ref="A62:A63"/>
    <mergeCell ref="B62:B63"/>
  </mergeCells>
  <dataValidations count="1">
    <dataValidation type="list" allowBlank="1" showInputMessage="1" showErrorMessage="1" errorTitle="EVALUACION DE DESEMPEÑO" error="VALOR INVALIDO !" sqref="U2:U6 U8:U11 U22:U24 U13:U16 U18:U20 U26:U29 U31:U33 U278:U280 U256:U259 U246:U249 U265:U268 U251:U254 U236:U238 U261:U263 U270:U272 U274:U276 U240:U244 U35:U37 U45:U48 U39:U43 U50:U54 U56:U58 U60:U62 U64:U66 U68:U70 U72:U74 U76:U80 U82:U85 U87:U90 U92:U95 U97:U99 U101:U103 U105:U107 U109:U111 U113:U115 U117:U121 U123:U126 U128:U131 U133:U136 U138:U140 U142:U144 U146:U148 U150:U152 U154:U156 U158:U162 U164:U167 U169:U172 U174:U177 U179:U181 U183:U185 U187:U189 U191:U193 U195:U197 U199:U203 U205:U208 U210:U213 U215:U218 U220:U222 U224:U226 U228:U230 U232:U234" xr:uid="{00000000-0002-0000-0200-000000000000}">
      <formula1>VALORES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A119"/>
  <sheetViews>
    <sheetView showGridLines="0" topLeftCell="A83" zoomScale="66" zoomScaleNormal="66" zoomScaleSheetLayoutView="90" workbookViewId="0">
      <selection activeCell="D110" sqref="D110:M110"/>
    </sheetView>
  </sheetViews>
  <sheetFormatPr baseColWidth="10" defaultColWidth="0" defaultRowHeight="15.75" customHeight="1" zeroHeight="1" x14ac:dyDescent="0.25"/>
  <cols>
    <col min="1" max="1" width="0.42578125" style="1" customWidth="1"/>
    <col min="2" max="2" width="1.28515625" style="1" customWidth="1"/>
    <col min="3" max="3" width="53.85546875" style="1" customWidth="1"/>
    <col min="4" max="4" width="14.140625" style="1" customWidth="1"/>
    <col min="5" max="5" width="3.42578125" style="1" customWidth="1"/>
    <col min="6" max="6" width="5.7109375" style="1" customWidth="1"/>
    <col min="7" max="7" width="3.140625" style="1" customWidth="1"/>
    <col min="8" max="8" width="5.140625" style="1" customWidth="1"/>
    <col min="9" max="9" width="17.140625" style="1" customWidth="1"/>
    <col min="10" max="10" width="18.42578125" style="1" customWidth="1"/>
    <col min="11" max="11" width="20.42578125" style="1" customWidth="1"/>
    <col min="12" max="12" width="33.42578125" style="1" customWidth="1"/>
    <col min="13" max="13" width="22.140625" style="1" customWidth="1"/>
    <col min="14" max="14" width="4.42578125" style="6" customWidth="1"/>
    <col min="15" max="15" width="11.7109375" style="41" customWidth="1"/>
    <col min="16" max="16" width="0.140625" style="6" hidden="1" customWidth="1"/>
    <col min="17" max="17" width="11.42578125" style="1" customWidth="1"/>
    <col min="18" max="18" width="6.42578125" style="1" customWidth="1"/>
    <col min="19" max="19" width="0.140625" style="1" hidden="1" customWidth="1"/>
    <col min="20" max="20" width="0.140625" style="41" hidden="1" customWidth="1"/>
    <col min="21" max="21" width="5.85546875" style="1" customWidth="1"/>
    <col min="22" max="22" width="12.140625" style="1" customWidth="1"/>
    <col min="23" max="23" width="11.42578125" style="1" customWidth="1"/>
    <col min="24" max="24" width="11.42578125" style="1" hidden="1" customWidth="1"/>
    <col min="25" max="25" width="10.140625" style="1" hidden="1" customWidth="1"/>
    <col min="26" max="26" width="5.28515625" style="1" hidden="1" customWidth="1"/>
    <col min="27" max="16384" width="0" style="1" hidden="1"/>
  </cols>
  <sheetData>
    <row r="1" spans="1:27" ht="18" customHeight="1" thickBot="1" x14ac:dyDescent="0.3">
      <c r="B1" s="252"/>
      <c r="C1" s="253"/>
      <c r="D1" s="258" t="s">
        <v>326</v>
      </c>
      <c r="E1" s="259"/>
      <c r="F1" s="259"/>
      <c r="G1" s="259"/>
      <c r="H1" s="259"/>
      <c r="I1" s="259"/>
      <c r="J1" s="259"/>
      <c r="K1" s="259"/>
      <c r="L1" s="260"/>
      <c r="M1" s="4" t="s">
        <v>68</v>
      </c>
      <c r="N1" s="6">
        <v>1</v>
      </c>
      <c r="O1" s="7"/>
      <c r="P1" s="7"/>
      <c r="Q1" s="7"/>
      <c r="R1" s="7"/>
      <c r="S1" s="7" t="s">
        <v>166</v>
      </c>
      <c r="T1" s="7"/>
      <c r="U1" s="7">
        <f>IF(IFERROR(VLOOKUP(D5,[2]REGISTROS!$B$4:$B$20674,1,FALSE),0)=0,0,1)</f>
        <v>0</v>
      </c>
      <c r="V1" s="7">
        <f>IF(IFERROR(VLOOKUP(D5,[2]REGISTROS!$B$4:$B$20674,1,FALSE),0)=0,0,1)</f>
        <v>0</v>
      </c>
      <c r="W1" s="7">
        <f>+U1+V1</f>
        <v>0</v>
      </c>
      <c r="X1" s="7">
        <f>IF(IFERROR(VLOOKUP(D5,#REF!,1,FALSE),0)=0,0,1)</f>
        <v>0</v>
      </c>
      <c r="Y1" s="7">
        <f>IF(IFERROR(VLOOKUP(D5,#REF!,1,FALSE),0)=0,0,1)</f>
        <v>0</v>
      </c>
      <c r="Z1" s="7">
        <f>+X1+Y1</f>
        <v>0</v>
      </c>
      <c r="AA1" s="7"/>
    </row>
    <row r="2" spans="1:27" ht="13.5" customHeight="1" thickBot="1" x14ac:dyDescent="0.3">
      <c r="B2" s="254"/>
      <c r="C2" s="255"/>
      <c r="D2" s="261"/>
      <c r="E2" s="262"/>
      <c r="F2" s="262"/>
      <c r="G2" s="262"/>
      <c r="H2" s="262"/>
      <c r="I2" s="262"/>
      <c r="J2" s="262"/>
      <c r="K2" s="262"/>
      <c r="L2" s="263"/>
      <c r="M2" s="4" t="s">
        <v>327</v>
      </c>
      <c r="N2" s="6">
        <v>2</v>
      </c>
      <c r="O2" s="7"/>
      <c r="P2" s="7"/>
      <c r="Q2" s="7"/>
      <c r="R2" s="7"/>
      <c r="S2" s="7"/>
      <c r="T2" s="7"/>
      <c r="U2" s="7"/>
      <c r="V2" s="7"/>
      <c r="W2" s="7"/>
      <c r="X2" s="7"/>
      <c r="Y2" s="7"/>
      <c r="Z2" s="7"/>
      <c r="AA2" s="7"/>
    </row>
    <row r="3" spans="1:27" ht="23.25" customHeight="1" thickBot="1" x14ac:dyDescent="0.3">
      <c r="B3" s="256"/>
      <c r="C3" s="257"/>
      <c r="D3" s="264" t="s">
        <v>328</v>
      </c>
      <c r="E3" s="265"/>
      <c r="F3" s="265"/>
      <c r="G3" s="265"/>
      <c r="H3" s="265"/>
      <c r="I3" s="265"/>
      <c r="J3" s="265"/>
      <c r="K3" s="265"/>
      <c r="L3" s="266"/>
      <c r="M3" s="4" t="s">
        <v>329</v>
      </c>
      <c r="N3" s="6">
        <v>3</v>
      </c>
      <c r="O3" s="7"/>
      <c r="P3" s="7"/>
      <c r="Q3" s="7"/>
      <c r="R3" s="7"/>
      <c r="S3" s="7"/>
      <c r="T3" s="7"/>
      <c r="U3" s="7"/>
      <c r="V3" s="7"/>
      <c r="W3" s="7"/>
      <c r="X3" s="7"/>
      <c r="Y3" s="7"/>
      <c r="Z3" s="7"/>
      <c r="AA3" s="7"/>
    </row>
    <row r="4" spans="1:27" ht="6" customHeight="1" x14ac:dyDescent="0.25">
      <c r="B4" s="239"/>
      <c r="C4" s="240"/>
      <c r="D4" s="240"/>
      <c r="E4" s="240"/>
      <c r="F4" s="240"/>
      <c r="G4" s="240"/>
      <c r="H4" s="240"/>
      <c r="I4" s="240"/>
      <c r="J4" s="240"/>
      <c r="K4" s="240"/>
      <c r="L4" s="240"/>
      <c r="M4" s="241"/>
      <c r="N4" s="6">
        <v>4</v>
      </c>
      <c r="O4" s="7"/>
      <c r="P4" s="7"/>
      <c r="Q4" s="7"/>
      <c r="R4" s="7"/>
      <c r="S4" s="7"/>
      <c r="T4" s="7"/>
      <c r="U4" s="7"/>
      <c r="V4" s="7"/>
      <c r="W4" s="7"/>
      <c r="X4" s="7"/>
      <c r="Y4" s="7"/>
      <c r="Z4" s="7"/>
      <c r="AA4" s="7"/>
    </row>
    <row r="5" spans="1:27" ht="19.5" customHeight="1" x14ac:dyDescent="0.3">
      <c r="B5" s="267" t="s">
        <v>330</v>
      </c>
      <c r="C5" s="268"/>
      <c r="D5" s="269" t="s">
        <v>86</v>
      </c>
      <c r="E5" s="270"/>
      <c r="F5" s="270"/>
      <c r="G5" s="270"/>
      <c r="H5" s="270"/>
      <c r="I5" s="271"/>
      <c r="J5" s="75" t="s">
        <v>225</v>
      </c>
      <c r="K5" s="76">
        <v>44152</v>
      </c>
      <c r="L5" s="77" t="s">
        <v>331</v>
      </c>
      <c r="M5" s="76">
        <v>43788</v>
      </c>
      <c r="N5" s="6">
        <v>5</v>
      </c>
      <c r="O5" s="7"/>
      <c r="P5" s="7"/>
      <c r="Q5" s="7"/>
      <c r="R5" s="7"/>
      <c r="S5" s="14" t="s">
        <v>177</v>
      </c>
      <c r="T5" s="7"/>
      <c r="U5" s="7"/>
      <c r="V5" s="7"/>
      <c r="W5" s="7"/>
      <c r="X5" s="7"/>
      <c r="Y5" s="7"/>
      <c r="Z5" s="7"/>
      <c r="AA5" s="7"/>
    </row>
    <row r="6" spans="1:27" ht="4.5" customHeight="1" x14ac:dyDescent="0.25">
      <c r="B6" s="239"/>
      <c r="C6" s="240"/>
      <c r="D6" s="240"/>
      <c r="E6" s="240"/>
      <c r="F6" s="240"/>
      <c r="G6" s="240"/>
      <c r="H6" s="240"/>
      <c r="I6" s="240"/>
      <c r="J6" s="240"/>
      <c r="K6" s="240"/>
      <c r="L6" s="240"/>
      <c r="M6" s="241"/>
      <c r="N6" s="6">
        <v>6</v>
      </c>
      <c r="O6" s="7"/>
      <c r="P6" s="7"/>
      <c r="Q6" s="7"/>
      <c r="R6" s="7"/>
      <c r="S6" s="7"/>
      <c r="T6" s="7"/>
      <c r="U6" s="7"/>
      <c r="V6" s="7"/>
      <c r="W6" s="7"/>
      <c r="X6" s="7"/>
      <c r="Y6" s="7"/>
      <c r="Z6" s="7"/>
      <c r="AA6" s="7"/>
    </row>
    <row r="7" spans="1:27" ht="31.5" customHeight="1" x14ac:dyDescent="0.3">
      <c r="B7" s="242" t="s">
        <v>198</v>
      </c>
      <c r="C7" s="243"/>
      <c r="D7" s="244" t="s">
        <v>87</v>
      </c>
      <c r="E7" s="245"/>
      <c r="F7" s="245"/>
      <c r="G7" s="245"/>
      <c r="H7" s="245"/>
      <c r="I7" s="246"/>
      <c r="J7" s="242" t="s">
        <v>332</v>
      </c>
      <c r="K7" s="243"/>
      <c r="L7" s="247" t="s">
        <v>226</v>
      </c>
      <c r="M7" s="248"/>
      <c r="N7" s="6">
        <v>7</v>
      </c>
      <c r="O7" s="7"/>
      <c r="P7" s="7"/>
      <c r="Q7" s="7"/>
      <c r="R7" s="7"/>
      <c r="S7" s="7"/>
      <c r="T7" s="7"/>
      <c r="U7" s="7"/>
      <c r="V7" s="7"/>
      <c r="W7" s="7"/>
      <c r="X7" s="7"/>
      <c r="Y7" s="7"/>
      <c r="Z7" s="7"/>
      <c r="AA7" s="7"/>
    </row>
    <row r="8" spans="1:27" ht="4.5" customHeight="1" x14ac:dyDescent="0.25">
      <c r="B8" s="239"/>
      <c r="C8" s="240"/>
      <c r="D8" s="240"/>
      <c r="E8" s="240"/>
      <c r="F8" s="240"/>
      <c r="G8" s="240"/>
      <c r="H8" s="240"/>
      <c r="I8" s="240"/>
      <c r="J8" s="240"/>
      <c r="K8" s="240"/>
      <c r="L8" s="240"/>
      <c r="M8" s="241"/>
      <c r="N8" s="6">
        <v>8</v>
      </c>
      <c r="O8" s="7"/>
      <c r="P8" s="7"/>
      <c r="Q8" s="7"/>
      <c r="R8" s="7"/>
      <c r="S8" s="7"/>
      <c r="T8" s="7"/>
      <c r="U8" s="7"/>
      <c r="V8" s="7"/>
      <c r="W8" s="7"/>
      <c r="X8" s="7"/>
      <c r="Y8" s="7"/>
      <c r="Z8" s="7"/>
      <c r="AA8" s="7"/>
    </row>
    <row r="9" spans="1:27" ht="30.75" customHeight="1" x14ac:dyDescent="0.3">
      <c r="B9" s="242" t="s">
        <v>199</v>
      </c>
      <c r="C9" s="243"/>
      <c r="D9" s="272" t="s">
        <v>144</v>
      </c>
      <c r="E9" s="273"/>
      <c r="F9" s="273"/>
      <c r="G9" s="273"/>
      <c r="H9" s="273"/>
      <c r="I9" s="274"/>
      <c r="J9" s="242"/>
      <c r="K9" s="243"/>
      <c r="L9" s="275"/>
      <c r="M9" s="276"/>
      <c r="N9" s="6">
        <v>9</v>
      </c>
      <c r="O9" s="7"/>
      <c r="P9" s="7"/>
      <c r="Q9" s="7"/>
      <c r="R9" s="7"/>
      <c r="S9" s="7"/>
      <c r="T9" s="7"/>
      <c r="U9" s="7"/>
      <c r="V9" s="7"/>
      <c r="W9" s="7"/>
      <c r="X9" s="7"/>
      <c r="Y9" s="7"/>
      <c r="Z9" s="7"/>
      <c r="AA9" s="7"/>
    </row>
    <row r="10" spans="1:27" ht="3.75" customHeight="1" x14ac:dyDescent="0.25">
      <c r="B10" s="239"/>
      <c r="C10" s="240"/>
      <c r="D10" s="240"/>
      <c r="E10" s="240"/>
      <c r="F10" s="240"/>
      <c r="G10" s="240"/>
      <c r="H10" s="240"/>
      <c r="I10" s="240"/>
      <c r="J10" s="240"/>
      <c r="K10" s="240"/>
      <c r="L10" s="240"/>
      <c r="M10" s="241"/>
      <c r="N10" s="6">
        <v>10</v>
      </c>
      <c r="O10" s="7"/>
      <c r="P10" s="7"/>
      <c r="Q10" s="7"/>
      <c r="R10" s="7"/>
      <c r="S10" s="7"/>
      <c r="T10" s="7"/>
      <c r="U10" s="7"/>
      <c r="V10" s="7"/>
      <c r="W10" s="7"/>
      <c r="X10" s="7"/>
      <c r="Y10" s="7"/>
      <c r="Z10" s="7"/>
      <c r="AA10" s="7"/>
    </row>
    <row r="11" spans="1:27" ht="18" x14ac:dyDescent="0.25">
      <c r="B11" s="193" t="s">
        <v>0</v>
      </c>
      <c r="C11" s="194"/>
      <c r="D11" s="194"/>
      <c r="E11" s="194"/>
      <c r="F11" s="194"/>
      <c r="G11" s="194"/>
      <c r="H11" s="194"/>
      <c r="I11" s="194"/>
      <c r="J11" s="194"/>
      <c r="K11" s="194"/>
      <c r="L11" s="194"/>
      <c r="M11" s="195"/>
      <c r="N11" s="6">
        <v>11</v>
      </c>
      <c r="O11" s="7"/>
      <c r="P11" s="7"/>
      <c r="Q11" s="7"/>
      <c r="R11" s="7"/>
      <c r="S11" s="7"/>
      <c r="T11" s="7"/>
      <c r="U11" s="7"/>
      <c r="V11" s="7"/>
      <c r="W11" s="7"/>
      <c r="X11" s="7"/>
      <c r="Y11" s="7"/>
      <c r="Z11" s="7"/>
      <c r="AA11" s="7"/>
    </row>
    <row r="12" spans="1:27" s="2" customFormat="1" ht="6" customHeight="1" x14ac:dyDescent="0.25">
      <c r="B12" s="249"/>
      <c r="C12" s="250"/>
      <c r="D12" s="250"/>
      <c r="E12" s="250"/>
      <c r="F12" s="250"/>
      <c r="G12" s="250"/>
      <c r="H12" s="250"/>
      <c r="I12" s="250"/>
      <c r="J12" s="250"/>
      <c r="K12" s="250"/>
      <c r="L12" s="250"/>
      <c r="M12" s="251"/>
      <c r="N12" s="6">
        <v>12</v>
      </c>
      <c r="O12" s="8"/>
      <c r="P12" s="8"/>
      <c r="Q12" s="8"/>
      <c r="R12" s="8"/>
      <c r="S12" s="7"/>
      <c r="T12" s="8"/>
      <c r="U12" s="8"/>
      <c r="V12" s="8"/>
      <c r="W12" s="8"/>
      <c r="X12" s="8"/>
      <c r="Y12" s="8"/>
      <c r="Z12" s="8"/>
      <c r="AA12" s="8"/>
    </row>
    <row r="13" spans="1:27" ht="21.75" customHeight="1" x14ac:dyDescent="0.25">
      <c r="B13" s="231" t="s">
        <v>333</v>
      </c>
      <c r="C13" s="232"/>
      <c r="D13" s="232"/>
      <c r="E13" s="232"/>
      <c r="F13" s="232"/>
      <c r="G13" s="232"/>
      <c r="H13" s="232"/>
      <c r="I13" s="232"/>
      <c r="J13" s="233" t="s">
        <v>1</v>
      </c>
      <c r="K13" s="166"/>
      <c r="L13" s="166"/>
      <c r="M13" s="166"/>
      <c r="N13" s="6">
        <v>13</v>
      </c>
      <c r="O13" s="7"/>
      <c r="P13" s="7"/>
      <c r="Q13" s="7"/>
      <c r="R13" s="7"/>
      <c r="S13" s="7"/>
      <c r="T13" s="7"/>
      <c r="U13" s="7"/>
      <c r="V13" s="7"/>
      <c r="W13" s="7"/>
      <c r="X13" s="7"/>
      <c r="Y13" s="7"/>
      <c r="Z13" s="7"/>
      <c r="AA13" s="7"/>
    </row>
    <row r="14" spans="1:27" ht="25.5" customHeight="1" x14ac:dyDescent="0.25">
      <c r="B14" s="234" t="s">
        <v>314</v>
      </c>
      <c r="C14" s="235"/>
      <c r="D14" s="235"/>
      <c r="E14" s="235"/>
      <c r="F14" s="235"/>
      <c r="G14" s="235"/>
      <c r="H14" s="235"/>
      <c r="I14" s="236" t="s">
        <v>3</v>
      </c>
      <c r="J14" s="236"/>
      <c r="K14" s="237"/>
      <c r="L14" s="238"/>
      <c r="M14" s="78" t="s">
        <v>4</v>
      </c>
      <c r="N14" s="6">
        <v>14</v>
      </c>
      <c r="O14" s="7"/>
      <c r="P14" s="7" t="s">
        <v>2</v>
      </c>
      <c r="Q14" s="7" t="s">
        <v>195</v>
      </c>
      <c r="R14" s="7"/>
      <c r="S14" s="7"/>
      <c r="T14" s="7"/>
      <c r="U14" s="7"/>
      <c r="V14" s="7"/>
      <c r="W14" s="7"/>
      <c r="X14" s="7"/>
      <c r="Y14" s="7"/>
      <c r="Z14" s="7"/>
      <c r="AA14" s="7"/>
    </row>
    <row r="15" spans="1:27" ht="44.1" customHeight="1" x14ac:dyDescent="0.25">
      <c r="A15" s="79">
        <v>7</v>
      </c>
      <c r="B15" s="221" t="s">
        <v>313</v>
      </c>
      <c r="C15" s="222"/>
      <c r="D15" s="222"/>
      <c r="E15" s="222"/>
      <c r="F15" s="222"/>
      <c r="G15" s="222"/>
      <c r="H15" s="223"/>
      <c r="I15" s="230" t="s">
        <v>334</v>
      </c>
      <c r="J15" s="230"/>
      <c r="K15" s="230"/>
      <c r="L15" s="230"/>
      <c r="M15" s="80">
        <v>80</v>
      </c>
      <c r="O15" s="81" t="s">
        <v>185</v>
      </c>
      <c r="P15" s="81"/>
      <c r="Q15" s="9"/>
      <c r="R15" s="7"/>
      <c r="S15" s="7"/>
      <c r="T15" s="7"/>
      <c r="U15" s="7"/>
      <c r="V15" s="7"/>
      <c r="W15" s="7"/>
      <c r="X15" s="81"/>
      <c r="Y15" s="7"/>
      <c r="Z15" s="7"/>
      <c r="AA15" s="7"/>
    </row>
    <row r="16" spans="1:27" ht="44.1" customHeight="1" x14ac:dyDescent="0.25">
      <c r="A16" s="79">
        <v>7</v>
      </c>
      <c r="B16" s="224"/>
      <c r="C16" s="225"/>
      <c r="D16" s="225"/>
      <c r="E16" s="225"/>
      <c r="F16" s="225"/>
      <c r="G16" s="225"/>
      <c r="H16" s="226"/>
      <c r="I16" s="230" t="s">
        <v>335</v>
      </c>
      <c r="J16" s="230"/>
      <c r="K16" s="230"/>
      <c r="L16" s="230"/>
      <c r="M16" s="80">
        <v>80</v>
      </c>
      <c r="O16" s="81" t="s">
        <v>185</v>
      </c>
      <c r="P16" s="81"/>
      <c r="Q16" s="9"/>
      <c r="R16" s="7"/>
      <c r="S16" s="7"/>
      <c r="T16" s="7"/>
      <c r="U16" s="7"/>
      <c r="V16" s="7"/>
      <c r="W16" s="7"/>
      <c r="X16" s="81"/>
      <c r="Y16" s="7"/>
      <c r="Z16" s="7"/>
      <c r="AA16" s="7"/>
    </row>
    <row r="17" spans="1:27" ht="44.1" customHeight="1" x14ac:dyDescent="0.25">
      <c r="A17" s="79">
        <v>7</v>
      </c>
      <c r="B17" s="224"/>
      <c r="C17" s="225"/>
      <c r="D17" s="225"/>
      <c r="E17" s="225"/>
      <c r="F17" s="225"/>
      <c r="G17" s="225"/>
      <c r="H17" s="226"/>
      <c r="I17" s="230" t="s">
        <v>288</v>
      </c>
      <c r="J17" s="230"/>
      <c r="K17" s="230"/>
      <c r="L17" s="230"/>
      <c r="M17" s="80">
        <v>80</v>
      </c>
      <c r="O17" s="81" t="s">
        <v>185</v>
      </c>
      <c r="P17" s="81"/>
      <c r="Q17" s="9"/>
      <c r="R17" s="7"/>
      <c r="S17" s="7"/>
      <c r="T17" s="7"/>
      <c r="U17" s="7"/>
      <c r="V17" s="7"/>
      <c r="W17" s="7"/>
      <c r="X17" s="81"/>
      <c r="Y17" s="7"/>
      <c r="Z17" s="7"/>
      <c r="AA17" s="7"/>
    </row>
    <row r="18" spans="1:27" ht="44.1" customHeight="1" x14ac:dyDescent="0.25">
      <c r="A18" s="79">
        <v>7</v>
      </c>
      <c r="B18" s="227"/>
      <c r="C18" s="228"/>
      <c r="D18" s="228"/>
      <c r="E18" s="228"/>
      <c r="F18" s="228"/>
      <c r="G18" s="228"/>
      <c r="H18" s="229"/>
      <c r="I18" s="220" t="s">
        <v>4</v>
      </c>
      <c r="J18" s="220"/>
      <c r="K18" s="220"/>
      <c r="L18" s="220"/>
      <c r="M18" s="82">
        <f>+AVERAGE(M15:M17)</f>
        <v>80</v>
      </c>
      <c r="O18" s="81" t="s">
        <v>185</v>
      </c>
      <c r="P18" s="81"/>
      <c r="Q18" s="9"/>
      <c r="R18" s="7"/>
      <c r="S18" s="7"/>
      <c r="T18" s="7"/>
      <c r="U18" s="7"/>
      <c r="V18" s="7"/>
      <c r="W18" s="7"/>
      <c r="X18" s="81" t="s">
        <v>232</v>
      </c>
      <c r="Y18" s="7"/>
      <c r="Z18" s="7"/>
      <c r="AA18" s="7"/>
    </row>
    <row r="19" spans="1:27" ht="44.1" customHeight="1" x14ac:dyDescent="0.25">
      <c r="A19" s="79">
        <v>7</v>
      </c>
      <c r="B19" s="221" t="s">
        <v>315</v>
      </c>
      <c r="C19" s="222"/>
      <c r="D19" s="222"/>
      <c r="E19" s="222"/>
      <c r="F19" s="222"/>
      <c r="G19" s="222"/>
      <c r="H19" s="223"/>
      <c r="I19" s="230" t="s">
        <v>336</v>
      </c>
      <c r="J19" s="230"/>
      <c r="K19" s="230"/>
      <c r="L19" s="230"/>
      <c r="M19" s="80">
        <v>100</v>
      </c>
      <c r="O19" s="81" t="s">
        <v>337</v>
      </c>
      <c r="P19" s="81"/>
      <c r="Q19" s="9"/>
      <c r="R19" s="7"/>
      <c r="S19" s="7"/>
      <c r="T19" s="7"/>
      <c r="U19" s="7"/>
      <c r="V19" s="7"/>
      <c r="W19" s="7"/>
      <c r="X19" s="81"/>
      <c r="Y19" s="7"/>
      <c r="Z19" s="7"/>
      <c r="AA19" s="7"/>
    </row>
    <row r="20" spans="1:27" ht="44.1" customHeight="1" x14ac:dyDescent="0.25">
      <c r="A20" s="79">
        <v>7</v>
      </c>
      <c r="B20" s="224"/>
      <c r="C20" s="225"/>
      <c r="D20" s="225"/>
      <c r="E20" s="225"/>
      <c r="F20" s="225"/>
      <c r="G20" s="225"/>
      <c r="H20" s="226"/>
      <c r="I20" s="230" t="s">
        <v>338</v>
      </c>
      <c r="J20" s="230"/>
      <c r="K20" s="230"/>
      <c r="L20" s="230"/>
      <c r="M20" s="80">
        <v>0</v>
      </c>
      <c r="O20" s="81" t="s">
        <v>337</v>
      </c>
      <c r="P20" s="81"/>
      <c r="Q20" s="9"/>
      <c r="R20" s="7"/>
      <c r="S20" s="7"/>
      <c r="T20" s="7"/>
      <c r="U20" s="7"/>
      <c r="V20" s="7"/>
      <c r="W20" s="7"/>
      <c r="X20" s="81"/>
      <c r="Y20" s="7"/>
      <c r="Z20" s="7"/>
      <c r="AA20" s="7"/>
    </row>
    <row r="21" spans="1:27" ht="44.1" customHeight="1" x14ac:dyDescent="0.25">
      <c r="A21" s="79">
        <v>7</v>
      </c>
      <c r="B21" s="224"/>
      <c r="C21" s="225"/>
      <c r="D21" s="225"/>
      <c r="E21" s="225"/>
      <c r="F21" s="225"/>
      <c r="G21" s="225"/>
      <c r="H21" s="226"/>
      <c r="I21" s="230" t="s">
        <v>339</v>
      </c>
      <c r="J21" s="230"/>
      <c r="K21" s="230"/>
      <c r="L21" s="230"/>
      <c r="M21" s="80">
        <v>0</v>
      </c>
      <c r="O21" s="81" t="s">
        <v>337</v>
      </c>
      <c r="P21" s="81"/>
      <c r="Q21" s="9"/>
      <c r="R21" s="7"/>
      <c r="S21" s="7"/>
      <c r="T21" s="7"/>
      <c r="U21" s="7"/>
      <c r="V21" s="7"/>
      <c r="W21" s="7"/>
      <c r="X21" s="81"/>
      <c r="Y21" s="7"/>
      <c r="Z21" s="7"/>
      <c r="AA21" s="7"/>
    </row>
    <row r="22" spans="1:27" ht="44.1" customHeight="1" x14ac:dyDescent="0.25">
      <c r="A22" s="79">
        <v>7</v>
      </c>
      <c r="B22" s="227"/>
      <c r="C22" s="228"/>
      <c r="D22" s="228"/>
      <c r="E22" s="228"/>
      <c r="F22" s="228"/>
      <c r="G22" s="228"/>
      <c r="H22" s="229"/>
      <c r="I22" s="220" t="s">
        <v>4</v>
      </c>
      <c r="J22" s="220"/>
      <c r="K22" s="220"/>
      <c r="L22" s="220"/>
      <c r="M22" s="82">
        <f>+AVERAGE(M19:M21)</f>
        <v>33.333333333333336</v>
      </c>
      <c r="O22" s="81" t="s">
        <v>337</v>
      </c>
      <c r="P22" s="81"/>
      <c r="Q22" s="9"/>
      <c r="R22" s="7"/>
      <c r="S22" s="7"/>
      <c r="T22" s="7"/>
      <c r="U22" s="7"/>
      <c r="V22" s="7"/>
      <c r="W22" s="7"/>
      <c r="X22" s="81" t="s">
        <v>340</v>
      </c>
      <c r="Y22" s="7"/>
      <c r="Z22" s="7"/>
      <c r="AA22" s="7"/>
    </row>
    <row r="23" spans="1:27" ht="44.1" customHeight="1" x14ac:dyDescent="0.25">
      <c r="A23" s="79">
        <v>7</v>
      </c>
      <c r="B23" s="221" t="s">
        <v>316</v>
      </c>
      <c r="C23" s="222"/>
      <c r="D23" s="222"/>
      <c r="E23" s="222"/>
      <c r="F23" s="222"/>
      <c r="G23" s="222"/>
      <c r="H23" s="223"/>
      <c r="I23" s="230" t="s">
        <v>29</v>
      </c>
      <c r="J23" s="230"/>
      <c r="K23" s="230"/>
      <c r="L23" s="230"/>
      <c r="M23" s="80">
        <v>0</v>
      </c>
      <c r="O23" s="81" t="s">
        <v>341</v>
      </c>
      <c r="P23" s="81"/>
      <c r="Q23" s="9"/>
      <c r="R23" s="7"/>
      <c r="S23" s="7"/>
      <c r="T23" s="7"/>
      <c r="U23" s="7"/>
      <c r="V23" s="7"/>
      <c r="W23" s="7"/>
      <c r="X23" s="81"/>
      <c r="Y23" s="7"/>
      <c r="Z23" s="7"/>
      <c r="AA23" s="7"/>
    </row>
    <row r="24" spans="1:27" ht="44.1" customHeight="1" x14ac:dyDescent="0.25">
      <c r="A24" s="79">
        <v>7</v>
      </c>
      <c r="B24" s="224"/>
      <c r="C24" s="225"/>
      <c r="D24" s="225"/>
      <c r="E24" s="225"/>
      <c r="F24" s="225"/>
      <c r="G24" s="225"/>
      <c r="H24" s="226"/>
      <c r="I24" s="230" t="s">
        <v>30</v>
      </c>
      <c r="J24" s="230"/>
      <c r="K24" s="230"/>
      <c r="L24" s="230"/>
      <c r="M24" s="80">
        <v>0</v>
      </c>
      <c r="O24" s="81" t="s">
        <v>341</v>
      </c>
      <c r="P24" s="81"/>
      <c r="Q24" s="9"/>
      <c r="R24" s="7"/>
      <c r="S24" s="7"/>
      <c r="T24" s="7"/>
      <c r="U24" s="7"/>
      <c r="V24" s="7"/>
      <c r="W24" s="7"/>
      <c r="X24" s="81"/>
      <c r="Y24" s="7"/>
      <c r="Z24" s="7"/>
      <c r="AA24" s="7"/>
    </row>
    <row r="25" spans="1:27" ht="44.1" customHeight="1" x14ac:dyDescent="0.25">
      <c r="A25" s="79">
        <v>7</v>
      </c>
      <c r="B25" s="224"/>
      <c r="C25" s="225"/>
      <c r="D25" s="225"/>
      <c r="E25" s="225"/>
      <c r="F25" s="225"/>
      <c r="G25" s="225"/>
      <c r="H25" s="226"/>
      <c r="I25" s="230" t="s">
        <v>289</v>
      </c>
      <c r="J25" s="230"/>
      <c r="K25" s="230"/>
      <c r="L25" s="230"/>
      <c r="M25" s="80">
        <v>0</v>
      </c>
      <c r="O25" s="81" t="s">
        <v>341</v>
      </c>
      <c r="P25" s="81"/>
      <c r="Q25" s="9"/>
      <c r="R25" s="7"/>
      <c r="S25" s="7"/>
      <c r="T25" s="7"/>
      <c r="U25" s="7"/>
      <c r="V25" s="7"/>
      <c r="W25" s="7"/>
      <c r="X25" s="81"/>
      <c r="Y25" s="7"/>
      <c r="Z25" s="7"/>
      <c r="AA25" s="7"/>
    </row>
    <row r="26" spans="1:27" ht="44.1" customHeight="1" x14ac:dyDescent="0.25">
      <c r="A26" s="79">
        <v>7</v>
      </c>
      <c r="B26" s="227"/>
      <c r="C26" s="228"/>
      <c r="D26" s="228"/>
      <c r="E26" s="228"/>
      <c r="F26" s="228"/>
      <c r="G26" s="228"/>
      <c r="H26" s="229"/>
      <c r="I26" s="220" t="s">
        <v>4</v>
      </c>
      <c r="J26" s="220"/>
      <c r="K26" s="220"/>
      <c r="L26" s="220"/>
      <c r="M26" s="82">
        <f>+AVERAGE(M23:M25)</f>
        <v>0</v>
      </c>
      <c r="O26" s="81" t="s">
        <v>341</v>
      </c>
      <c r="P26" s="81"/>
      <c r="Q26" s="9"/>
      <c r="R26" s="7"/>
      <c r="S26" s="7"/>
      <c r="T26" s="7"/>
      <c r="U26" s="7"/>
      <c r="V26" s="7"/>
      <c r="W26" s="7"/>
      <c r="X26" s="81" t="s">
        <v>342</v>
      </c>
      <c r="Y26" s="7"/>
      <c r="Z26" s="7"/>
      <c r="AA26" s="7"/>
    </row>
    <row r="27" spans="1:27" ht="44.1" customHeight="1" x14ac:dyDescent="0.25">
      <c r="A27" s="79">
        <v>7</v>
      </c>
      <c r="B27" s="221" t="s">
        <v>317</v>
      </c>
      <c r="C27" s="222"/>
      <c r="D27" s="222"/>
      <c r="E27" s="222"/>
      <c r="F27" s="222"/>
      <c r="G27" s="222"/>
      <c r="H27" s="223"/>
      <c r="I27" s="230" t="s">
        <v>290</v>
      </c>
      <c r="J27" s="230"/>
      <c r="K27" s="230"/>
      <c r="L27" s="230"/>
      <c r="M27" s="80">
        <v>0</v>
      </c>
      <c r="O27" s="81" t="s">
        <v>343</v>
      </c>
      <c r="P27" s="81"/>
      <c r="Q27" s="9"/>
      <c r="R27" s="7"/>
      <c r="S27" s="7"/>
      <c r="T27" s="7"/>
      <c r="U27" s="7"/>
      <c r="V27" s="7"/>
      <c r="W27" s="7"/>
      <c r="X27" s="81"/>
      <c r="Y27" s="7"/>
      <c r="Z27" s="7"/>
      <c r="AA27" s="7"/>
    </row>
    <row r="28" spans="1:27" ht="44.1" customHeight="1" x14ac:dyDescent="0.25">
      <c r="A28" s="79">
        <v>7</v>
      </c>
      <c r="B28" s="224"/>
      <c r="C28" s="225"/>
      <c r="D28" s="225"/>
      <c r="E28" s="225"/>
      <c r="F28" s="225"/>
      <c r="G28" s="225"/>
      <c r="H28" s="226"/>
      <c r="I28" s="230" t="s">
        <v>8</v>
      </c>
      <c r="J28" s="230"/>
      <c r="K28" s="230"/>
      <c r="L28" s="230"/>
      <c r="M28" s="80">
        <v>0</v>
      </c>
      <c r="O28" s="81" t="s">
        <v>343</v>
      </c>
      <c r="P28" s="81"/>
      <c r="Q28" s="9"/>
      <c r="R28" s="7"/>
      <c r="S28" s="7"/>
      <c r="T28" s="7"/>
      <c r="U28" s="7"/>
      <c r="V28" s="7"/>
      <c r="W28" s="7"/>
      <c r="X28" s="81"/>
      <c r="Y28" s="7"/>
      <c r="Z28" s="7"/>
      <c r="AA28" s="7"/>
    </row>
    <row r="29" spans="1:27" ht="44.1" customHeight="1" x14ac:dyDescent="0.25">
      <c r="A29" s="79">
        <v>7</v>
      </c>
      <c r="B29" s="224"/>
      <c r="C29" s="225"/>
      <c r="D29" s="225"/>
      <c r="E29" s="225"/>
      <c r="F29" s="225"/>
      <c r="G29" s="225"/>
      <c r="H29" s="226"/>
      <c r="I29" s="230" t="s">
        <v>344</v>
      </c>
      <c r="J29" s="230"/>
      <c r="K29" s="230"/>
      <c r="L29" s="230"/>
      <c r="M29" s="80">
        <v>0</v>
      </c>
      <c r="O29" s="81" t="s">
        <v>343</v>
      </c>
      <c r="P29" s="81"/>
      <c r="Q29" s="9"/>
      <c r="R29" s="7"/>
      <c r="S29" s="7"/>
      <c r="T29" s="7"/>
      <c r="U29" s="7"/>
      <c r="V29" s="7"/>
      <c r="W29" s="7"/>
      <c r="X29" s="81"/>
      <c r="Y29" s="7"/>
      <c r="Z29" s="7"/>
      <c r="AA29" s="7"/>
    </row>
    <row r="30" spans="1:27" ht="44.1" customHeight="1" x14ac:dyDescent="0.25">
      <c r="A30" s="79">
        <v>7</v>
      </c>
      <c r="B30" s="227"/>
      <c r="C30" s="228"/>
      <c r="D30" s="228"/>
      <c r="E30" s="228"/>
      <c r="F30" s="228"/>
      <c r="G30" s="228"/>
      <c r="H30" s="229"/>
      <c r="I30" s="220" t="s">
        <v>4</v>
      </c>
      <c r="J30" s="220"/>
      <c r="K30" s="220"/>
      <c r="L30" s="220"/>
      <c r="M30" s="82">
        <f>+AVERAGE(M27:M29)</f>
        <v>0</v>
      </c>
      <c r="O30" s="81" t="s">
        <v>343</v>
      </c>
      <c r="P30" s="81"/>
      <c r="Q30" s="9"/>
      <c r="R30" s="7"/>
      <c r="S30" s="7"/>
      <c r="T30" s="7"/>
      <c r="U30" s="7"/>
      <c r="V30" s="7"/>
      <c r="W30" s="7"/>
      <c r="X30" s="81" t="s">
        <v>345</v>
      </c>
      <c r="Y30" s="7"/>
      <c r="Z30" s="7"/>
      <c r="AA30" s="7"/>
    </row>
    <row r="31" spans="1:27" ht="44.1" customHeight="1" x14ac:dyDescent="0.25">
      <c r="A31" s="79">
        <v>7</v>
      </c>
      <c r="B31" s="221" t="s">
        <v>318</v>
      </c>
      <c r="C31" s="222"/>
      <c r="D31" s="222"/>
      <c r="E31" s="222"/>
      <c r="F31" s="222"/>
      <c r="G31" s="222"/>
      <c r="H31" s="223"/>
      <c r="I31" s="230" t="s">
        <v>24</v>
      </c>
      <c r="J31" s="230"/>
      <c r="K31" s="230"/>
      <c r="L31" s="230"/>
      <c r="M31" s="80">
        <v>0</v>
      </c>
      <c r="O31" s="81" t="s">
        <v>181</v>
      </c>
      <c r="P31" s="81"/>
      <c r="Q31" s="9"/>
      <c r="R31" s="7"/>
      <c r="S31" s="7"/>
      <c r="T31" s="7"/>
      <c r="U31" s="7"/>
      <c r="V31" s="7"/>
      <c r="W31" s="7"/>
      <c r="X31" s="81"/>
      <c r="Y31" s="7"/>
      <c r="Z31" s="7"/>
      <c r="AA31" s="7"/>
    </row>
    <row r="32" spans="1:27" ht="44.1" customHeight="1" x14ac:dyDescent="0.25">
      <c r="A32" s="79">
        <v>7</v>
      </c>
      <c r="B32" s="224"/>
      <c r="C32" s="225"/>
      <c r="D32" s="225"/>
      <c r="E32" s="225"/>
      <c r="F32" s="225"/>
      <c r="G32" s="225"/>
      <c r="H32" s="226"/>
      <c r="I32" s="230" t="s">
        <v>291</v>
      </c>
      <c r="J32" s="230"/>
      <c r="K32" s="230"/>
      <c r="L32" s="230"/>
      <c r="M32" s="80">
        <v>0</v>
      </c>
      <c r="O32" s="81" t="s">
        <v>181</v>
      </c>
      <c r="P32" s="81"/>
      <c r="Q32" s="9"/>
      <c r="R32" s="7"/>
      <c r="S32" s="7"/>
      <c r="T32" s="7"/>
      <c r="U32" s="7"/>
      <c r="V32" s="7"/>
      <c r="W32" s="7"/>
      <c r="X32" s="81"/>
      <c r="Y32" s="7"/>
      <c r="Z32" s="7"/>
      <c r="AA32" s="7"/>
    </row>
    <row r="33" spans="1:27" ht="44.1" customHeight="1" x14ac:dyDescent="0.25">
      <c r="A33" s="79">
        <v>7</v>
      </c>
      <c r="B33" s="224"/>
      <c r="C33" s="225"/>
      <c r="D33" s="225"/>
      <c r="E33" s="225"/>
      <c r="F33" s="225"/>
      <c r="G33" s="225"/>
      <c r="H33" s="226"/>
      <c r="I33" s="230" t="s">
        <v>292</v>
      </c>
      <c r="J33" s="230"/>
      <c r="K33" s="230"/>
      <c r="L33" s="230"/>
      <c r="M33" s="80">
        <v>0</v>
      </c>
      <c r="O33" s="81" t="s">
        <v>181</v>
      </c>
      <c r="P33" s="81"/>
      <c r="Q33" s="9"/>
      <c r="R33" s="7"/>
      <c r="S33" s="7"/>
      <c r="T33" s="7"/>
      <c r="U33" s="7"/>
      <c r="V33" s="7"/>
      <c r="W33" s="7"/>
      <c r="X33" s="81"/>
      <c r="Y33" s="7"/>
      <c r="Z33" s="7"/>
      <c r="AA33" s="7"/>
    </row>
    <row r="34" spans="1:27" ht="44.1" customHeight="1" x14ac:dyDescent="0.25">
      <c r="A34" s="79">
        <v>7</v>
      </c>
      <c r="B34" s="227"/>
      <c r="C34" s="228"/>
      <c r="D34" s="228"/>
      <c r="E34" s="228"/>
      <c r="F34" s="228"/>
      <c r="G34" s="228"/>
      <c r="H34" s="229"/>
      <c r="I34" s="220" t="s">
        <v>4</v>
      </c>
      <c r="J34" s="220"/>
      <c r="K34" s="220"/>
      <c r="L34" s="220"/>
      <c r="M34" s="82">
        <f>+AVERAGE(M31:M33)</f>
        <v>0</v>
      </c>
      <c r="O34" s="81" t="s">
        <v>181</v>
      </c>
      <c r="P34" s="81"/>
      <c r="Q34" s="9"/>
      <c r="R34" s="7"/>
      <c r="S34" s="7"/>
      <c r="T34" s="7"/>
      <c r="U34" s="7"/>
      <c r="V34" s="7"/>
      <c r="W34" s="7"/>
      <c r="X34" s="81" t="s">
        <v>243</v>
      </c>
      <c r="Y34" s="7"/>
      <c r="Z34" s="7"/>
      <c r="AA34" s="7"/>
    </row>
    <row r="35" spans="1:27" ht="44.1" customHeight="1" x14ac:dyDescent="0.25">
      <c r="A35" s="79">
        <v>7</v>
      </c>
      <c r="B35" s="221" t="s">
        <v>319</v>
      </c>
      <c r="C35" s="222"/>
      <c r="D35" s="222"/>
      <c r="E35" s="222"/>
      <c r="F35" s="222"/>
      <c r="G35" s="222"/>
      <c r="H35" s="223"/>
      <c r="I35" s="230" t="s">
        <v>55</v>
      </c>
      <c r="J35" s="230"/>
      <c r="K35" s="230"/>
      <c r="L35" s="230"/>
      <c r="M35" s="80">
        <v>0</v>
      </c>
      <c r="O35" s="81" t="s">
        <v>189</v>
      </c>
      <c r="P35" s="81"/>
      <c r="Q35" s="9"/>
      <c r="R35" s="7"/>
      <c r="S35" s="7"/>
      <c r="T35" s="7"/>
      <c r="U35" s="7"/>
      <c r="V35" s="7"/>
      <c r="W35" s="7"/>
      <c r="X35" s="81"/>
      <c r="Y35" s="7"/>
      <c r="Z35" s="7"/>
      <c r="AA35" s="7"/>
    </row>
    <row r="36" spans="1:27" ht="44.1" customHeight="1" x14ac:dyDescent="0.25">
      <c r="A36" s="79">
        <v>7</v>
      </c>
      <c r="B36" s="224"/>
      <c r="C36" s="225"/>
      <c r="D36" s="225"/>
      <c r="E36" s="225"/>
      <c r="F36" s="225"/>
      <c r="G36" s="225"/>
      <c r="H36" s="226"/>
      <c r="I36" s="230" t="s">
        <v>35</v>
      </c>
      <c r="J36" s="230"/>
      <c r="K36" s="230"/>
      <c r="L36" s="230"/>
      <c r="M36" s="80">
        <v>0</v>
      </c>
      <c r="O36" s="81" t="s">
        <v>189</v>
      </c>
      <c r="P36" s="81"/>
      <c r="Q36" s="9"/>
      <c r="R36" s="7"/>
      <c r="S36" s="7"/>
      <c r="T36" s="7"/>
      <c r="U36" s="7"/>
      <c r="V36" s="7"/>
      <c r="W36" s="7"/>
      <c r="X36" s="81"/>
      <c r="Y36" s="7"/>
      <c r="Z36" s="7"/>
      <c r="AA36" s="7"/>
    </row>
    <row r="37" spans="1:27" ht="44.1" customHeight="1" x14ac:dyDescent="0.25">
      <c r="A37" s="79">
        <v>7</v>
      </c>
      <c r="B37" s="224"/>
      <c r="C37" s="225"/>
      <c r="D37" s="225"/>
      <c r="E37" s="225"/>
      <c r="F37" s="225"/>
      <c r="G37" s="225"/>
      <c r="H37" s="226"/>
      <c r="I37" s="230" t="s">
        <v>36</v>
      </c>
      <c r="J37" s="230"/>
      <c r="K37" s="230"/>
      <c r="L37" s="230"/>
      <c r="M37" s="80">
        <v>0</v>
      </c>
      <c r="O37" s="81" t="s">
        <v>189</v>
      </c>
      <c r="P37" s="81"/>
      <c r="Q37" s="9"/>
      <c r="R37" s="7"/>
      <c r="S37" s="7"/>
      <c r="T37" s="7"/>
      <c r="U37" s="7"/>
      <c r="V37" s="7"/>
      <c r="W37" s="7"/>
      <c r="X37" s="81"/>
      <c r="Y37" s="7"/>
      <c r="Z37" s="7"/>
      <c r="AA37" s="7"/>
    </row>
    <row r="38" spans="1:27" ht="44.1" customHeight="1" x14ac:dyDescent="0.25">
      <c r="A38" s="79">
        <v>7</v>
      </c>
      <c r="B38" s="224"/>
      <c r="C38" s="225"/>
      <c r="D38" s="225"/>
      <c r="E38" s="225"/>
      <c r="F38" s="225"/>
      <c r="G38" s="225"/>
      <c r="H38" s="226"/>
      <c r="I38" s="230" t="s">
        <v>293</v>
      </c>
      <c r="J38" s="230"/>
      <c r="K38" s="230"/>
      <c r="L38" s="230"/>
      <c r="M38" s="80">
        <v>0</v>
      </c>
      <c r="O38" s="81" t="s">
        <v>189</v>
      </c>
      <c r="P38" s="81"/>
      <c r="Q38" s="9"/>
      <c r="R38" s="7"/>
      <c r="S38" s="7"/>
      <c r="T38" s="7"/>
      <c r="U38" s="7"/>
      <c r="V38" s="7"/>
      <c r="W38" s="7"/>
      <c r="X38" s="81"/>
      <c r="Y38" s="7"/>
      <c r="Z38" s="7"/>
      <c r="AA38" s="7"/>
    </row>
    <row r="39" spans="1:27" ht="44.1" customHeight="1" x14ac:dyDescent="0.25">
      <c r="A39" s="79">
        <v>7</v>
      </c>
      <c r="B39" s="227"/>
      <c r="C39" s="228"/>
      <c r="D39" s="228"/>
      <c r="E39" s="228"/>
      <c r="F39" s="228"/>
      <c r="G39" s="228"/>
      <c r="H39" s="229"/>
      <c r="I39" s="220" t="s">
        <v>4</v>
      </c>
      <c r="J39" s="220"/>
      <c r="K39" s="220"/>
      <c r="L39" s="220"/>
      <c r="M39" s="82">
        <f>+AVERAGE(M35:M38)</f>
        <v>0</v>
      </c>
      <c r="O39" s="81" t="s">
        <v>189</v>
      </c>
      <c r="P39" s="81"/>
      <c r="Q39" s="9"/>
      <c r="R39" s="7"/>
      <c r="S39" s="7"/>
      <c r="T39" s="7"/>
      <c r="U39" s="7"/>
      <c r="V39" s="7"/>
      <c r="W39" s="7"/>
      <c r="X39" s="81" t="s">
        <v>244</v>
      </c>
      <c r="Y39" s="7"/>
      <c r="Z39" s="7"/>
      <c r="AA39" s="7"/>
    </row>
    <row r="40" spans="1:27" ht="44.1" customHeight="1" x14ac:dyDescent="0.25">
      <c r="A40" s="79">
        <v>7</v>
      </c>
      <c r="B40" s="221" t="s">
        <v>320</v>
      </c>
      <c r="C40" s="222"/>
      <c r="D40" s="222"/>
      <c r="E40" s="222"/>
      <c r="F40" s="222"/>
      <c r="G40" s="222"/>
      <c r="H40" s="223"/>
      <c r="I40" s="230" t="s">
        <v>346</v>
      </c>
      <c r="J40" s="230"/>
      <c r="K40" s="230"/>
      <c r="L40" s="230"/>
      <c r="M40" s="80">
        <v>0</v>
      </c>
      <c r="O40" s="81" t="s">
        <v>347</v>
      </c>
      <c r="P40" s="81"/>
      <c r="Q40" s="9"/>
      <c r="R40" s="7"/>
      <c r="S40" s="7"/>
      <c r="T40" s="7"/>
      <c r="U40" s="7"/>
      <c r="V40" s="7"/>
      <c r="W40" s="7"/>
      <c r="X40" s="81"/>
      <c r="Y40" s="7"/>
      <c r="Z40" s="7"/>
      <c r="AA40" s="7"/>
    </row>
    <row r="41" spans="1:27" ht="44.1" customHeight="1" x14ac:dyDescent="0.25">
      <c r="A41" s="79">
        <v>7</v>
      </c>
      <c r="B41" s="224"/>
      <c r="C41" s="225"/>
      <c r="D41" s="225"/>
      <c r="E41" s="225"/>
      <c r="F41" s="225"/>
      <c r="G41" s="225"/>
      <c r="H41" s="226"/>
      <c r="I41" s="230" t="s">
        <v>348</v>
      </c>
      <c r="J41" s="230"/>
      <c r="K41" s="230"/>
      <c r="L41" s="230"/>
      <c r="M41" s="80">
        <v>0</v>
      </c>
      <c r="O41" s="81" t="s">
        <v>347</v>
      </c>
      <c r="P41" s="81"/>
      <c r="Q41" s="9"/>
      <c r="R41" s="7"/>
      <c r="S41" s="7"/>
      <c r="T41" s="7"/>
      <c r="U41" s="7"/>
      <c r="V41" s="7"/>
      <c r="W41" s="7"/>
      <c r="X41" s="81"/>
      <c r="Y41" s="7"/>
      <c r="Z41" s="7"/>
      <c r="AA41" s="7"/>
    </row>
    <row r="42" spans="1:27" ht="44.1" customHeight="1" x14ac:dyDescent="0.25">
      <c r="A42" s="79">
        <v>7</v>
      </c>
      <c r="B42" s="224"/>
      <c r="C42" s="225"/>
      <c r="D42" s="225"/>
      <c r="E42" s="225"/>
      <c r="F42" s="225"/>
      <c r="G42" s="225"/>
      <c r="H42" s="226"/>
      <c r="I42" s="230" t="s">
        <v>295</v>
      </c>
      <c r="J42" s="230"/>
      <c r="K42" s="230"/>
      <c r="L42" s="230"/>
      <c r="M42" s="80">
        <v>0</v>
      </c>
      <c r="O42" s="81" t="s">
        <v>347</v>
      </c>
      <c r="P42" s="81"/>
      <c r="Q42" s="9"/>
      <c r="R42" s="7"/>
      <c r="S42" s="7"/>
      <c r="T42" s="7"/>
      <c r="U42" s="7"/>
      <c r="V42" s="7"/>
      <c r="W42" s="7"/>
      <c r="X42" s="81"/>
      <c r="Y42" s="7"/>
      <c r="Z42" s="7"/>
      <c r="AA42" s="7"/>
    </row>
    <row r="43" spans="1:27" ht="44.1" customHeight="1" x14ac:dyDescent="0.25">
      <c r="A43" s="79">
        <v>7</v>
      </c>
      <c r="B43" s="224"/>
      <c r="C43" s="225"/>
      <c r="D43" s="225"/>
      <c r="E43" s="225"/>
      <c r="F43" s="225"/>
      <c r="G43" s="225"/>
      <c r="H43" s="226"/>
      <c r="I43" s="230" t="s">
        <v>349</v>
      </c>
      <c r="J43" s="230"/>
      <c r="K43" s="230"/>
      <c r="L43" s="230"/>
      <c r="M43" s="80">
        <v>0</v>
      </c>
      <c r="O43" s="81" t="s">
        <v>347</v>
      </c>
      <c r="P43" s="83"/>
      <c r="Q43" s="9"/>
      <c r="R43" s="9"/>
      <c r="S43" s="7"/>
      <c r="T43" s="7"/>
      <c r="U43" s="7"/>
      <c r="V43" s="7"/>
      <c r="W43" s="7"/>
      <c r="X43" s="81"/>
      <c r="Y43" s="7"/>
      <c r="Z43" s="7"/>
      <c r="AA43" s="7"/>
    </row>
    <row r="44" spans="1:27" ht="44.1" customHeight="1" x14ac:dyDescent="0.25">
      <c r="A44" s="79">
        <v>7</v>
      </c>
      <c r="B44" s="224"/>
      <c r="C44" s="225"/>
      <c r="D44" s="225"/>
      <c r="E44" s="225"/>
      <c r="F44" s="225"/>
      <c r="G44" s="225"/>
      <c r="H44" s="226"/>
      <c r="I44" s="230" t="s">
        <v>350</v>
      </c>
      <c r="J44" s="230"/>
      <c r="K44" s="230"/>
      <c r="L44" s="230"/>
      <c r="M44" s="80">
        <v>0</v>
      </c>
      <c r="O44" s="81" t="s">
        <v>347</v>
      </c>
      <c r="P44" s="83"/>
      <c r="Q44" s="9"/>
      <c r="R44" s="7"/>
      <c r="S44" s="7"/>
      <c r="T44" s="7"/>
      <c r="U44" s="7"/>
      <c r="V44" s="7"/>
      <c r="W44" s="7"/>
      <c r="X44" s="81"/>
      <c r="Y44" s="7"/>
      <c r="Z44" s="7"/>
      <c r="AA44" s="7"/>
    </row>
    <row r="45" spans="1:27" ht="44.1" customHeight="1" x14ac:dyDescent="0.25">
      <c r="A45" s="79">
        <v>7</v>
      </c>
      <c r="B45" s="227"/>
      <c r="C45" s="228"/>
      <c r="D45" s="228"/>
      <c r="E45" s="228"/>
      <c r="F45" s="228"/>
      <c r="G45" s="228"/>
      <c r="H45" s="229"/>
      <c r="I45" s="220" t="s">
        <v>4</v>
      </c>
      <c r="J45" s="220"/>
      <c r="K45" s="220"/>
      <c r="L45" s="220"/>
      <c r="M45" s="82">
        <f>+AVERAGE(M40:M44)</f>
        <v>0</v>
      </c>
      <c r="O45" s="81" t="s">
        <v>347</v>
      </c>
      <c r="P45" s="81"/>
      <c r="Q45" s="9"/>
      <c r="R45" s="7"/>
      <c r="S45" s="7"/>
      <c r="T45" s="7"/>
      <c r="U45" s="7"/>
      <c r="V45" s="7"/>
      <c r="W45" s="7"/>
      <c r="X45" s="81" t="s">
        <v>351</v>
      </c>
      <c r="Y45" s="7"/>
      <c r="Z45" s="7"/>
      <c r="AA45" s="7"/>
    </row>
    <row r="46" spans="1:27" ht="44.1" customHeight="1" x14ac:dyDescent="0.25">
      <c r="A46" s="79">
        <v>7</v>
      </c>
      <c r="B46" s="221" t="s">
        <v>321</v>
      </c>
      <c r="C46" s="222"/>
      <c r="D46" s="222"/>
      <c r="E46" s="222"/>
      <c r="F46" s="222"/>
      <c r="G46" s="222"/>
      <c r="H46" s="223"/>
      <c r="I46" s="230" t="s">
        <v>45</v>
      </c>
      <c r="J46" s="230"/>
      <c r="K46" s="230"/>
      <c r="L46" s="230"/>
      <c r="M46" s="80">
        <v>0</v>
      </c>
      <c r="O46" s="81" t="s">
        <v>352</v>
      </c>
      <c r="P46" s="81"/>
      <c r="Q46" s="9"/>
      <c r="R46" s="7"/>
      <c r="S46" s="7"/>
      <c r="T46" s="7"/>
      <c r="U46" s="7"/>
      <c r="V46" s="7"/>
      <c r="W46" s="7"/>
      <c r="X46" s="81"/>
      <c r="Y46" s="7"/>
      <c r="Z46" s="7"/>
      <c r="AA46" s="7"/>
    </row>
    <row r="47" spans="1:27" ht="44.1" customHeight="1" x14ac:dyDescent="0.25">
      <c r="A47" s="79">
        <v>7</v>
      </c>
      <c r="B47" s="224"/>
      <c r="C47" s="225"/>
      <c r="D47" s="225"/>
      <c r="E47" s="225"/>
      <c r="F47" s="225"/>
      <c r="G47" s="225"/>
      <c r="H47" s="226"/>
      <c r="I47" s="230" t="s">
        <v>46</v>
      </c>
      <c r="J47" s="230"/>
      <c r="K47" s="230"/>
      <c r="L47" s="230"/>
      <c r="M47" s="80">
        <v>0</v>
      </c>
      <c r="O47" s="81" t="s">
        <v>352</v>
      </c>
      <c r="P47" s="81"/>
      <c r="Q47" s="9"/>
      <c r="R47" s="7"/>
      <c r="S47" s="7"/>
      <c r="T47" s="7"/>
      <c r="U47" s="7"/>
      <c r="V47" s="7"/>
      <c r="W47" s="7"/>
      <c r="X47" s="81"/>
      <c r="Y47" s="7"/>
      <c r="Z47" s="7"/>
      <c r="AA47" s="7"/>
    </row>
    <row r="48" spans="1:27" ht="44.1" customHeight="1" x14ac:dyDescent="0.25">
      <c r="A48" s="79">
        <v>7</v>
      </c>
      <c r="B48" s="224"/>
      <c r="C48" s="225"/>
      <c r="D48" s="225"/>
      <c r="E48" s="225"/>
      <c r="F48" s="225"/>
      <c r="G48" s="225"/>
      <c r="H48" s="226"/>
      <c r="I48" s="230" t="s">
        <v>66</v>
      </c>
      <c r="J48" s="230"/>
      <c r="K48" s="230"/>
      <c r="L48" s="230"/>
      <c r="M48" s="80">
        <v>0</v>
      </c>
      <c r="O48" s="81" t="s">
        <v>352</v>
      </c>
      <c r="P48" s="81"/>
      <c r="Q48" s="9"/>
      <c r="R48" s="7"/>
      <c r="S48" s="7"/>
      <c r="T48" s="7"/>
      <c r="U48" s="7"/>
      <c r="V48" s="7"/>
      <c r="W48" s="7"/>
      <c r="X48" s="81"/>
      <c r="Y48" s="7"/>
      <c r="Z48" s="7"/>
      <c r="AA48" s="7"/>
    </row>
    <row r="49" spans="1:27" ht="44.1" customHeight="1" x14ac:dyDescent="0.25">
      <c r="A49" s="79">
        <v>7</v>
      </c>
      <c r="B49" s="227"/>
      <c r="C49" s="228"/>
      <c r="D49" s="228"/>
      <c r="E49" s="228"/>
      <c r="F49" s="228"/>
      <c r="G49" s="228"/>
      <c r="H49" s="229"/>
      <c r="I49" s="220" t="s">
        <v>4</v>
      </c>
      <c r="J49" s="220"/>
      <c r="K49" s="220"/>
      <c r="L49" s="220"/>
      <c r="M49" s="82">
        <f>+AVERAGE(M46:M48)</f>
        <v>0</v>
      </c>
      <c r="O49" s="81" t="s">
        <v>352</v>
      </c>
      <c r="P49" s="81"/>
      <c r="Q49" s="9"/>
      <c r="R49" s="7"/>
      <c r="S49" s="7"/>
      <c r="T49" s="7"/>
      <c r="U49" s="7"/>
      <c r="V49" s="7"/>
      <c r="W49" s="7"/>
      <c r="X49" s="81" t="s">
        <v>353</v>
      </c>
      <c r="Y49" s="7"/>
      <c r="Z49" s="7"/>
      <c r="AA49" s="7"/>
    </row>
    <row r="50" spans="1:27" ht="44.1" customHeight="1" x14ac:dyDescent="0.25">
      <c r="A50" s="79">
        <v>7</v>
      </c>
      <c r="B50" s="221" t="s">
        <v>322</v>
      </c>
      <c r="C50" s="222"/>
      <c r="D50" s="222"/>
      <c r="E50" s="222"/>
      <c r="F50" s="222"/>
      <c r="G50" s="222"/>
      <c r="H50" s="223"/>
      <c r="I50" s="230" t="s">
        <v>354</v>
      </c>
      <c r="J50" s="230"/>
      <c r="K50" s="230"/>
      <c r="L50" s="230"/>
      <c r="M50" s="80">
        <v>0</v>
      </c>
      <c r="O50" s="81" t="s">
        <v>355</v>
      </c>
      <c r="P50" s="81"/>
      <c r="Q50" s="9"/>
      <c r="R50" s="7"/>
      <c r="S50" s="7"/>
      <c r="T50" s="7"/>
      <c r="U50" s="7"/>
      <c r="V50" s="7"/>
      <c r="W50" s="7"/>
      <c r="X50" s="81"/>
      <c r="Y50" s="7"/>
      <c r="Z50" s="7"/>
      <c r="AA50" s="7"/>
    </row>
    <row r="51" spans="1:27" ht="44.1" customHeight="1" x14ac:dyDescent="0.25">
      <c r="A51" s="79">
        <v>7</v>
      </c>
      <c r="B51" s="224"/>
      <c r="C51" s="225"/>
      <c r="D51" s="225"/>
      <c r="E51" s="225"/>
      <c r="F51" s="225"/>
      <c r="G51" s="225"/>
      <c r="H51" s="226"/>
      <c r="I51" s="230" t="s">
        <v>297</v>
      </c>
      <c r="J51" s="230"/>
      <c r="K51" s="230"/>
      <c r="L51" s="230"/>
      <c r="M51" s="80">
        <v>0</v>
      </c>
      <c r="O51" s="81" t="s">
        <v>355</v>
      </c>
      <c r="P51" s="81"/>
      <c r="Q51" s="7"/>
      <c r="R51" s="7"/>
      <c r="S51" s="7"/>
      <c r="T51" s="7"/>
      <c r="U51" s="7"/>
      <c r="V51" s="7"/>
      <c r="W51" s="7"/>
      <c r="X51" s="81"/>
      <c r="Y51" s="7"/>
      <c r="Z51" s="7"/>
      <c r="AA51" s="7"/>
    </row>
    <row r="52" spans="1:27" ht="44.1" customHeight="1" x14ac:dyDescent="0.25">
      <c r="A52" s="79">
        <v>7</v>
      </c>
      <c r="B52" s="224"/>
      <c r="C52" s="225"/>
      <c r="D52" s="225"/>
      <c r="E52" s="225"/>
      <c r="F52" s="225"/>
      <c r="G52" s="225"/>
      <c r="H52" s="226"/>
      <c r="I52" s="230" t="s">
        <v>298</v>
      </c>
      <c r="J52" s="230"/>
      <c r="K52" s="230"/>
      <c r="L52" s="230"/>
      <c r="M52" s="80">
        <v>0</v>
      </c>
      <c r="O52" s="81" t="s">
        <v>355</v>
      </c>
      <c r="P52" s="81"/>
      <c r="Q52" s="7"/>
      <c r="R52" s="7"/>
      <c r="S52" s="7"/>
      <c r="T52" s="7"/>
      <c r="U52" s="7"/>
      <c r="V52" s="7"/>
      <c r="W52" s="7"/>
      <c r="X52" s="81"/>
      <c r="Y52" s="7"/>
      <c r="Z52" s="7"/>
      <c r="AA52" s="7"/>
    </row>
    <row r="53" spans="1:27" ht="44.1" customHeight="1" x14ac:dyDescent="0.25">
      <c r="A53" s="79">
        <v>7</v>
      </c>
      <c r="B53" s="227"/>
      <c r="C53" s="228"/>
      <c r="D53" s="228"/>
      <c r="E53" s="228"/>
      <c r="F53" s="228"/>
      <c r="G53" s="228"/>
      <c r="H53" s="229"/>
      <c r="I53" s="220" t="s">
        <v>4</v>
      </c>
      <c r="J53" s="220"/>
      <c r="K53" s="220"/>
      <c r="L53" s="220"/>
      <c r="M53" s="82">
        <f>+AVERAGE(M50:M52)</f>
        <v>0</v>
      </c>
      <c r="O53" s="81" t="s">
        <v>355</v>
      </c>
      <c r="P53" s="81"/>
      <c r="Q53" s="7"/>
      <c r="R53" s="7"/>
      <c r="S53" s="7"/>
      <c r="T53" s="7"/>
      <c r="U53" s="7"/>
      <c r="V53" s="7"/>
      <c r="W53" s="7"/>
      <c r="X53" s="81" t="s">
        <v>356</v>
      </c>
      <c r="Y53" s="7"/>
      <c r="Z53" s="7"/>
      <c r="AA53" s="7"/>
    </row>
    <row r="54" spans="1:27" ht="44.1" customHeight="1" x14ac:dyDescent="0.25">
      <c r="A54" s="79">
        <v>7</v>
      </c>
      <c r="B54" s="221" t="s">
        <v>323</v>
      </c>
      <c r="C54" s="222"/>
      <c r="D54" s="222"/>
      <c r="E54" s="222"/>
      <c r="F54" s="222"/>
      <c r="G54" s="222"/>
      <c r="H54" s="223"/>
      <c r="I54" s="230" t="s">
        <v>357</v>
      </c>
      <c r="J54" s="230"/>
      <c r="K54" s="230"/>
      <c r="L54" s="230"/>
      <c r="M54" s="80">
        <v>0</v>
      </c>
      <c r="O54" s="81" t="s">
        <v>358</v>
      </c>
      <c r="P54" s="81"/>
      <c r="Q54" s="7"/>
      <c r="R54" s="7"/>
      <c r="S54" s="7"/>
      <c r="T54" s="7"/>
      <c r="U54" s="7"/>
      <c r="V54" s="7"/>
      <c r="W54" s="7"/>
      <c r="X54" s="81"/>
      <c r="Y54" s="7"/>
      <c r="Z54" s="7"/>
      <c r="AA54" s="7"/>
    </row>
    <row r="55" spans="1:27" ht="44.1" customHeight="1" x14ac:dyDescent="0.25">
      <c r="A55" s="79">
        <v>7</v>
      </c>
      <c r="B55" s="224"/>
      <c r="C55" s="225"/>
      <c r="D55" s="225"/>
      <c r="E55" s="225"/>
      <c r="F55" s="225"/>
      <c r="G55" s="225"/>
      <c r="H55" s="226"/>
      <c r="I55" s="230" t="s">
        <v>299</v>
      </c>
      <c r="J55" s="230"/>
      <c r="K55" s="230"/>
      <c r="L55" s="230"/>
      <c r="M55" s="80">
        <v>0</v>
      </c>
      <c r="O55" s="81" t="s">
        <v>358</v>
      </c>
      <c r="P55" s="81"/>
      <c r="Q55" s="7"/>
      <c r="R55" s="7"/>
      <c r="S55" s="7"/>
      <c r="T55" s="7"/>
      <c r="U55" s="7"/>
      <c r="V55" s="7"/>
      <c r="W55" s="7"/>
      <c r="X55" s="81"/>
      <c r="Y55" s="7"/>
      <c r="Z55" s="7"/>
      <c r="AA55" s="7"/>
    </row>
    <row r="56" spans="1:27" ht="44.1" customHeight="1" x14ac:dyDescent="0.25">
      <c r="A56" s="79">
        <v>7</v>
      </c>
      <c r="B56" s="224"/>
      <c r="C56" s="225"/>
      <c r="D56" s="225"/>
      <c r="E56" s="225"/>
      <c r="F56" s="225"/>
      <c r="G56" s="225"/>
      <c r="H56" s="226"/>
      <c r="I56" s="230" t="s">
        <v>359</v>
      </c>
      <c r="J56" s="230"/>
      <c r="K56" s="230"/>
      <c r="L56" s="230"/>
      <c r="M56" s="80">
        <v>0</v>
      </c>
      <c r="O56" s="81" t="s">
        <v>358</v>
      </c>
      <c r="P56" s="81"/>
      <c r="Q56" s="7"/>
      <c r="R56" s="7"/>
      <c r="S56" s="7"/>
      <c r="T56" s="7"/>
      <c r="U56" s="7"/>
      <c r="V56" s="7"/>
      <c r="W56" s="7"/>
      <c r="X56" s="81"/>
      <c r="Y56" s="7"/>
      <c r="Z56" s="7"/>
      <c r="AA56" s="7"/>
    </row>
    <row r="57" spans="1:27" ht="44.1" customHeight="1" x14ac:dyDescent="0.25">
      <c r="A57" s="79">
        <v>7</v>
      </c>
      <c r="B57" s="227"/>
      <c r="C57" s="228"/>
      <c r="D57" s="228"/>
      <c r="E57" s="228"/>
      <c r="F57" s="228"/>
      <c r="G57" s="228"/>
      <c r="H57" s="229"/>
      <c r="I57" s="220" t="s">
        <v>4</v>
      </c>
      <c r="J57" s="220"/>
      <c r="K57" s="220"/>
      <c r="L57" s="220"/>
      <c r="M57" s="82">
        <f>+AVERAGE(M54:M56)</f>
        <v>0</v>
      </c>
      <c r="O57" s="81" t="s">
        <v>358</v>
      </c>
      <c r="P57" s="81"/>
      <c r="Q57" s="7"/>
      <c r="R57" s="7"/>
      <c r="S57" s="7"/>
      <c r="T57" s="7"/>
      <c r="U57" s="7"/>
      <c r="V57" s="7"/>
      <c r="W57" s="7"/>
      <c r="X57" s="81" t="s">
        <v>360</v>
      </c>
      <c r="Y57" s="7"/>
      <c r="Z57" s="7"/>
      <c r="AA57" s="7"/>
    </row>
    <row r="58" spans="1:27" ht="44.1" customHeight="1" x14ac:dyDescent="0.25">
      <c r="A58" s="79">
        <v>7</v>
      </c>
      <c r="B58" s="221" t="s">
        <v>325</v>
      </c>
      <c r="C58" s="222"/>
      <c r="D58" s="222"/>
      <c r="E58" s="222"/>
      <c r="F58" s="222"/>
      <c r="G58" s="222"/>
      <c r="H58" s="223"/>
      <c r="I58" s="230" t="s">
        <v>361</v>
      </c>
      <c r="J58" s="230"/>
      <c r="K58" s="230"/>
      <c r="L58" s="230"/>
      <c r="M58" s="80">
        <v>0</v>
      </c>
      <c r="O58" s="81" t="s">
        <v>362</v>
      </c>
      <c r="P58" s="81"/>
      <c r="Q58" s="7"/>
      <c r="R58" s="7"/>
      <c r="S58" s="7"/>
      <c r="T58" s="7"/>
      <c r="U58" s="7"/>
      <c r="V58" s="7"/>
      <c r="W58" s="7"/>
      <c r="X58" s="81"/>
      <c r="Y58" s="7"/>
      <c r="Z58" s="7"/>
      <c r="AA58" s="7"/>
    </row>
    <row r="59" spans="1:27" ht="44.1" customHeight="1" x14ac:dyDescent="0.25">
      <c r="A59" s="79">
        <v>7</v>
      </c>
      <c r="B59" s="224"/>
      <c r="C59" s="225"/>
      <c r="D59" s="225"/>
      <c r="E59" s="225"/>
      <c r="F59" s="225"/>
      <c r="G59" s="225"/>
      <c r="H59" s="226"/>
      <c r="I59" s="230" t="s">
        <v>302</v>
      </c>
      <c r="J59" s="230"/>
      <c r="K59" s="230"/>
      <c r="L59" s="230"/>
      <c r="M59" s="80">
        <v>0</v>
      </c>
      <c r="O59" s="81" t="s">
        <v>362</v>
      </c>
      <c r="P59" s="81"/>
      <c r="Q59" s="7"/>
      <c r="R59" s="7"/>
      <c r="S59" s="7"/>
      <c r="T59" s="7"/>
      <c r="U59" s="7"/>
      <c r="V59" s="7"/>
      <c r="W59" s="7"/>
      <c r="X59" s="81"/>
      <c r="Y59" s="7"/>
      <c r="Z59" s="7"/>
      <c r="AA59" s="7"/>
    </row>
    <row r="60" spans="1:27" ht="44.1" customHeight="1" x14ac:dyDescent="0.25">
      <c r="A60" s="79">
        <v>7</v>
      </c>
      <c r="B60" s="224"/>
      <c r="C60" s="225"/>
      <c r="D60" s="225"/>
      <c r="E60" s="225"/>
      <c r="F60" s="225"/>
      <c r="G60" s="225"/>
      <c r="H60" s="226"/>
      <c r="I60" s="230" t="s">
        <v>308</v>
      </c>
      <c r="J60" s="230"/>
      <c r="K60" s="230"/>
      <c r="L60" s="230"/>
      <c r="M60" s="80">
        <v>0</v>
      </c>
      <c r="O60" s="81" t="s">
        <v>362</v>
      </c>
      <c r="P60" s="81"/>
      <c r="Q60" s="7"/>
      <c r="R60" s="7"/>
      <c r="S60" s="7"/>
      <c r="T60" s="7"/>
      <c r="U60" s="7"/>
      <c r="V60" s="7"/>
      <c r="W60" s="7"/>
      <c r="X60" s="81"/>
      <c r="Y60" s="7"/>
      <c r="Z60" s="7"/>
      <c r="AA60" s="7"/>
    </row>
    <row r="61" spans="1:27" ht="44.1" customHeight="1" x14ac:dyDescent="0.25">
      <c r="A61" s="79">
        <v>7</v>
      </c>
      <c r="B61" s="224"/>
      <c r="C61" s="225"/>
      <c r="D61" s="225"/>
      <c r="E61" s="225"/>
      <c r="F61" s="225"/>
      <c r="G61" s="225"/>
      <c r="H61" s="226"/>
      <c r="I61" s="230" t="s">
        <v>363</v>
      </c>
      <c r="J61" s="230"/>
      <c r="K61" s="230"/>
      <c r="L61" s="230"/>
      <c r="M61" s="80">
        <v>0</v>
      </c>
      <c r="O61" s="81" t="s">
        <v>362</v>
      </c>
      <c r="P61" s="81"/>
      <c r="Q61" s="7"/>
      <c r="R61" s="7"/>
      <c r="S61" s="7"/>
      <c r="T61" s="7"/>
      <c r="U61" s="7"/>
      <c r="V61" s="7"/>
      <c r="W61" s="7"/>
      <c r="X61" s="81"/>
      <c r="Y61" s="7"/>
      <c r="Z61" s="7"/>
      <c r="AA61" s="7"/>
    </row>
    <row r="62" spans="1:27" ht="44.1" customHeight="1" x14ac:dyDescent="0.25">
      <c r="A62" s="79">
        <v>7</v>
      </c>
      <c r="B62" s="227"/>
      <c r="C62" s="228"/>
      <c r="D62" s="228"/>
      <c r="E62" s="228"/>
      <c r="F62" s="228"/>
      <c r="G62" s="228"/>
      <c r="H62" s="229"/>
      <c r="I62" s="220" t="s">
        <v>4</v>
      </c>
      <c r="J62" s="220"/>
      <c r="K62" s="220"/>
      <c r="L62" s="220"/>
      <c r="M62" s="82">
        <f>+AVERAGE(M58:M61)</f>
        <v>0</v>
      </c>
      <c r="O62" s="81" t="s">
        <v>362</v>
      </c>
      <c r="P62" s="81"/>
      <c r="Q62" s="7"/>
      <c r="R62" s="7"/>
      <c r="S62" s="7"/>
      <c r="T62" s="7"/>
      <c r="U62" s="7"/>
      <c r="V62" s="7"/>
      <c r="W62" s="7"/>
      <c r="X62" s="81" t="s">
        <v>364</v>
      </c>
      <c r="Y62" s="7"/>
      <c r="Z62" s="7"/>
      <c r="AA62" s="7"/>
    </row>
    <row r="63" spans="1:27" ht="44.1" customHeight="1" x14ac:dyDescent="0.25">
      <c r="A63" s="79">
        <v>7</v>
      </c>
      <c r="B63" s="221" t="s">
        <v>309</v>
      </c>
      <c r="C63" s="222"/>
      <c r="D63" s="222"/>
      <c r="E63" s="222"/>
      <c r="F63" s="222"/>
      <c r="G63" s="222"/>
      <c r="H63" s="223"/>
      <c r="I63" s="230" t="s">
        <v>310</v>
      </c>
      <c r="J63" s="230"/>
      <c r="K63" s="230"/>
      <c r="L63" s="230"/>
      <c r="M63" s="80">
        <v>0</v>
      </c>
      <c r="O63" s="81" t="s">
        <v>365</v>
      </c>
      <c r="P63" s="81"/>
      <c r="Q63" s="7"/>
      <c r="R63" s="7"/>
      <c r="S63" s="7"/>
      <c r="T63" s="7"/>
      <c r="U63" s="7"/>
      <c r="V63" s="7"/>
      <c r="W63" s="7"/>
      <c r="X63" s="81"/>
      <c r="Y63" s="7"/>
      <c r="Z63" s="7"/>
      <c r="AA63" s="7"/>
    </row>
    <row r="64" spans="1:27" ht="44.1" customHeight="1" x14ac:dyDescent="0.25">
      <c r="A64" s="79">
        <v>7</v>
      </c>
      <c r="B64" s="224"/>
      <c r="C64" s="225"/>
      <c r="D64" s="225"/>
      <c r="E64" s="225"/>
      <c r="F64" s="225"/>
      <c r="G64" s="225"/>
      <c r="H64" s="226"/>
      <c r="I64" s="230" t="s">
        <v>311</v>
      </c>
      <c r="J64" s="230"/>
      <c r="K64" s="230"/>
      <c r="L64" s="230"/>
      <c r="M64" s="80">
        <v>0</v>
      </c>
      <c r="O64" s="81" t="s">
        <v>365</v>
      </c>
      <c r="P64" s="81"/>
      <c r="Q64" s="7"/>
      <c r="R64" s="7"/>
      <c r="S64" s="7"/>
      <c r="T64" s="7"/>
      <c r="U64" s="7"/>
      <c r="V64" s="7"/>
      <c r="W64" s="7"/>
      <c r="X64" s="81"/>
      <c r="Y64" s="7"/>
      <c r="Z64" s="7"/>
      <c r="AA64" s="7"/>
    </row>
    <row r="65" spans="1:27" ht="44.1" customHeight="1" x14ac:dyDescent="0.25">
      <c r="A65" s="79">
        <v>7</v>
      </c>
      <c r="B65" s="224"/>
      <c r="C65" s="225"/>
      <c r="D65" s="225"/>
      <c r="E65" s="225"/>
      <c r="F65" s="225"/>
      <c r="G65" s="225"/>
      <c r="H65" s="226"/>
      <c r="I65" s="230" t="s">
        <v>312</v>
      </c>
      <c r="J65" s="230"/>
      <c r="K65" s="230"/>
      <c r="L65" s="230"/>
      <c r="M65" s="80">
        <v>0</v>
      </c>
      <c r="O65" s="81" t="s">
        <v>365</v>
      </c>
      <c r="P65" s="81"/>
      <c r="Q65" s="7"/>
      <c r="R65" s="7"/>
      <c r="S65" s="7"/>
      <c r="T65" s="7"/>
      <c r="U65" s="7"/>
      <c r="V65" s="7"/>
      <c r="W65" s="7"/>
      <c r="X65" s="81"/>
      <c r="Y65" s="7"/>
      <c r="Z65" s="7"/>
      <c r="AA65" s="7"/>
    </row>
    <row r="66" spans="1:27" ht="44.1" customHeight="1" x14ac:dyDescent="0.25">
      <c r="A66" s="79">
        <v>7</v>
      </c>
      <c r="B66" s="227"/>
      <c r="C66" s="228"/>
      <c r="D66" s="228"/>
      <c r="E66" s="228"/>
      <c r="F66" s="228"/>
      <c r="G66" s="228"/>
      <c r="H66" s="229"/>
      <c r="I66" s="220" t="s">
        <v>4</v>
      </c>
      <c r="J66" s="220"/>
      <c r="K66" s="220"/>
      <c r="L66" s="220"/>
      <c r="M66" s="82">
        <f>+AVERAGE(M63:M65)</f>
        <v>0</v>
      </c>
      <c r="O66" s="81" t="s">
        <v>365</v>
      </c>
      <c r="P66" s="81"/>
      <c r="Q66" s="7"/>
      <c r="R66" s="7"/>
      <c r="S66" s="7"/>
      <c r="T66" s="7"/>
      <c r="U66" s="7"/>
      <c r="V66" s="7"/>
      <c r="W66" s="7"/>
      <c r="X66" s="81" t="s">
        <v>366</v>
      </c>
      <c r="Y66" s="7"/>
      <c r="Z66" s="7"/>
      <c r="AA66" s="7"/>
    </row>
    <row r="67" spans="1:27" ht="44.1" customHeight="1" x14ac:dyDescent="0.25">
      <c r="A67" s="9"/>
      <c r="B67" s="214"/>
      <c r="C67" s="214"/>
      <c r="D67" s="214"/>
      <c r="E67" s="214"/>
      <c r="F67" s="214"/>
      <c r="G67" s="214"/>
      <c r="H67" s="214"/>
      <c r="I67" s="215"/>
      <c r="J67" s="215"/>
      <c r="K67" s="215"/>
      <c r="L67" s="215"/>
      <c r="M67" s="84"/>
      <c r="O67" s="9"/>
      <c r="P67" s="9"/>
      <c r="Q67" s="7"/>
      <c r="R67" s="7"/>
      <c r="S67" s="7"/>
      <c r="T67" s="7"/>
      <c r="U67" s="7"/>
      <c r="V67" s="7"/>
      <c r="W67" s="7"/>
      <c r="X67" s="9"/>
      <c r="Y67" s="7"/>
      <c r="Z67" s="7"/>
      <c r="AA67" s="7"/>
    </row>
    <row r="68" spans="1:27" ht="44.1" customHeight="1" x14ac:dyDescent="0.25">
      <c r="A68"/>
      <c r="B68" s="216"/>
      <c r="C68" s="217"/>
      <c r="D68" s="217"/>
      <c r="E68" s="217"/>
      <c r="F68" s="217"/>
      <c r="G68" s="217"/>
      <c r="H68" s="217"/>
      <c r="I68" s="218"/>
      <c r="J68" s="217"/>
      <c r="K68" s="217"/>
      <c r="L68" s="217"/>
      <c r="M68" s="85"/>
      <c r="O68" s="9"/>
      <c r="P68" s="9"/>
      <c r="Q68" s="7"/>
      <c r="R68" s="7"/>
      <c r="S68" s="7"/>
      <c r="T68" s="7"/>
      <c r="U68" s="7"/>
      <c r="V68" s="7"/>
      <c r="W68" s="7"/>
      <c r="X68" s="9"/>
      <c r="Y68" s="7"/>
      <c r="Z68" s="7"/>
      <c r="AA68" s="7"/>
    </row>
    <row r="69" spans="1:27" ht="24" customHeight="1" x14ac:dyDescent="0.25">
      <c r="B69" s="219"/>
      <c r="C69" s="219"/>
      <c r="D69" s="219"/>
      <c r="E69" s="219"/>
      <c r="F69" s="219"/>
      <c r="G69" s="219"/>
      <c r="H69" s="219"/>
      <c r="I69" s="219"/>
      <c r="J69" s="219"/>
      <c r="K69" s="219"/>
      <c r="L69" s="219"/>
      <c r="M69" s="86"/>
      <c r="N69" s="6">
        <v>61</v>
      </c>
      <c r="O69" s="7"/>
      <c r="P69" s="7"/>
      <c r="Q69" s="7"/>
      <c r="R69" s="7"/>
      <c r="S69" s="7"/>
      <c r="T69" s="7"/>
      <c r="U69" s="7"/>
      <c r="V69" s="7"/>
      <c r="W69" s="7"/>
      <c r="X69" s="7"/>
      <c r="Y69" s="7"/>
      <c r="Z69" s="7"/>
      <c r="AA69" s="7"/>
    </row>
    <row r="70" spans="1:27" ht="18" x14ac:dyDescent="0.25">
      <c r="B70" s="206" t="s">
        <v>71</v>
      </c>
      <c r="C70" s="207"/>
      <c r="D70" s="207"/>
      <c r="E70" s="207"/>
      <c r="F70" s="207"/>
      <c r="G70" s="207"/>
      <c r="H70" s="207"/>
      <c r="I70" s="207"/>
      <c r="J70" s="207"/>
      <c r="K70" s="207"/>
      <c r="L70" s="207"/>
      <c r="M70" s="207"/>
      <c r="N70" s="6">
        <v>62</v>
      </c>
      <c r="O70" s="7"/>
      <c r="P70" s="7"/>
      <c r="Q70" s="7"/>
      <c r="R70" s="7"/>
      <c r="S70" s="7"/>
      <c r="T70" s="7"/>
      <c r="U70" s="7"/>
      <c r="V70" s="7"/>
      <c r="W70" s="7"/>
      <c r="X70" s="7"/>
      <c r="Y70" s="7"/>
      <c r="Z70" s="7"/>
      <c r="AA70" s="7"/>
    </row>
    <row r="71" spans="1:27" ht="17.25" customHeight="1" x14ac:dyDescent="0.25">
      <c r="B71" s="208" t="s">
        <v>367</v>
      </c>
      <c r="C71" s="208"/>
      <c r="D71" s="208"/>
      <c r="E71" s="208"/>
      <c r="F71" s="208"/>
      <c r="G71" s="208"/>
      <c r="H71" s="208"/>
      <c r="I71" s="188"/>
      <c r="J71" s="209" t="s">
        <v>368</v>
      </c>
      <c r="K71" s="210"/>
      <c r="L71" s="211" t="str">
        <f>+D5</f>
        <v>CERVANTES DIAZ SHIRLEY</v>
      </c>
      <c r="M71" s="212"/>
      <c r="N71" s="6">
        <v>63</v>
      </c>
      <c r="O71" s="7"/>
      <c r="P71" s="7"/>
      <c r="Q71" s="7"/>
      <c r="R71" s="7"/>
      <c r="S71" s="7"/>
      <c r="T71" s="7"/>
      <c r="U71" s="7"/>
      <c r="V71" s="7"/>
      <c r="W71" s="7"/>
      <c r="X71" s="7"/>
      <c r="Y71" s="7"/>
      <c r="Z71" s="7"/>
      <c r="AA71" s="7"/>
    </row>
    <row r="72" spans="1:27" ht="15.75" customHeight="1" x14ac:dyDescent="0.25">
      <c r="B72" s="213" t="s">
        <v>1</v>
      </c>
      <c r="C72" s="213"/>
      <c r="D72" s="213"/>
      <c r="E72" s="213"/>
      <c r="F72" s="213"/>
      <c r="G72" s="213"/>
      <c r="H72" s="213"/>
      <c r="I72" s="87" t="s">
        <v>87</v>
      </c>
      <c r="J72" s="209" t="s">
        <v>228</v>
      </c>
      <c r="K72" s="210"/>
      <c r="L72" s="211" t="str">
        <f>+L7</f>
        <v>AUTOEVALUACION</v>
      </c>
      <c r="M72" s="212"/>
      <c r="N72" s="6">
        <v>64</v>
      </c>
      <c r="O72" s="7"/>
      <c r="P72" s="7"/>
      <c r="Q72" s="7"/>
      <c r="R72" s="7"/>
      <c r="S72" s="9"/>
      <c r="T72" s="9"/>
      <c r="U72" s="9"/>
      <c r="V72" s="9"/>
      <c r="W72" s="7"/>
      <c r="X72" s="9"/>
      <c r="Y72" s="9"/>
      <c r="Z72" s="9"/>
      <c r="AA72" s="7"/>
    </row>
    <row r="73" spans="1:27" x14ac:dyDescent="0.25">
      <c r="B73" s="165"/>
      <c r="C73" s="166"/>
      <c r="D73" s="166"/>
      <c r="E73" s="166"/>
      <c r="F73" s="166"/>
      <c r="G73" s="166"/>
      <c r="H73" s="166"/>
      <c r="I73" s="166"/>
      <c r="J73" s="166"/>
      <c r="K73" s="166"/>
      <c r="L73" s="166"/>
      <c r="M73" s="166"/>
      <c r="N73" s="6">
        <v>65</v>
      </c>
      <c r="O73" s="7"/>
      <c r="P73" s="7"/>
      <c r="Q73" s="7"/>
      <c r="R73" s="7"/>
      <c r="S73" s="9" t="s">
        <v>256</v>
      </c>
      <c r="T73" s="9"/>
      <c r="U73" s="9"/>
      <c r="V73" s="9"/>
      <c r="W73" s="7"/>
      <c r="X73" s="9"/>
      <c r="Y73" s="9"/>
      <c r="Z73" s="9"/>
      <c r="AA73" s="7"/>
    </row>
    <row r="74" spans="1:27" ht="16.5" x14ac:dyDescent="0.3">
      <c r="B74" s="204"/>
      <c r="C74" s="12" t="s">
        <v>369</v>
      </c>
      <c r="D74" s="13" t="s">
        <v>4</v>
      </c>
      <c r="E74" s="202"/>
      <c r="F74" s="203"/>
      <c r="G74" s="203"/>
      <c r="H74" s="203"/>
      <c r="I74" s="203"/>
      <c r="J74" s="203"/>
      <c r="K74" s="203"/>
      <c r="L74" s="203"/>
      <c r="M74" s="203"/>
      <c r="N74" s="6">
        <v>66</v>
      </c>
      <c r="O74" s="7"/>
      <c r="P74" s="7"/>
      <c r="Q74" s="7"/>
      <c r="R74" s="7"/>
      <c r="S74" s="9" t="s">
        <v>2</v>
      </c>
      <c r="T74" s="9" t="s">
        <v>196</v>
      </c>
      <c r="U74" s="9"/>
      <c r="V74" s="9"/>
      <c r="W74" s="7"/>
      <c r="X74" s="9"/>
      <c r="Y74" s="9"/>
      <c r="Z74" s="9"/>
      <c r="AA74" s="7"/>
    </row>
    <row r="75" spans="1:27" x14ac:dyDescent="0.25">
      <c r="B75" s="205"/>
      <c r="C75" s="88"/>
      <c r="D75" s="89"/>
      <c r="E75" s="202"/>
      <c r="F75" s="203"/>
      <c r="G75" s="203"/>
      <c r="H75" s="203"/>
      <c r="I75" s="203"/>
      <c r="J75" s="203"/>
      <c r="K75" s="203"/>
      <c r="L75" s="203"/>
      <c r="M75" s="203"/>
      <c r="N75" s="6">
        <v>67</v>
      </c>
      <c r="O75" s="9">
        <v>33.299999999999997</v>
      </c>
      <c r="P75" s="9" t="s">
        <v>22</v>
      </c>
      <c r="Q75" s="7"/>
      <c r="R75" s="7"/>
      <c r="S75" s="9" t="s">
        <v>22</v>
      </c>
      <c r="T75" s="9">
        <v>33.333333333333336</v>
      </c>
      <c r="U75" s="9"/>
      <c r="V75" s="9"/>
      <c r="W75" s="7"/>
      <c r="X75" s="7"/>
      <c r="Y75" s="7"/>
      <c r="Z75" s="7"/>
      <c r="AA75" s="7"/>
    </row>
    <row r="76" spans="1:27" x14ac:dyDescent="0.25">
      <c r="B76" s="205"/>
      <c r="C76" s="90"/>
      <c r="D76" s="91"/>
      <c r="E76" s="202"/>
      <c r="F76" s="203"/>
      <c r="G76" s="203"/>
      <c r="H76" s="203"/>
      <c r="I76" s="203"/>
      <c r="J76" s="203"/>
      <c r="K76" s="203"/>
      <c r="L76" s="203"/>
      <c r="M76" s="203"/>
      <c r="N76" s="6">
        <v>68</v>
      </c>
      <c r="O76" s="9">
        <v>0</v>
      </c>
      <c r="P76" s="9" t="s">
        <v>33</v>
      </c>
      <c r="Q76" s="7"/>
      <c r="R76" s="7"/>
      <c r="S76" s="9" t="s">
        <v>33</v>
      </c>
      <c r="T76" s="9">
        <v>0</v>
      </c>
      <c r="U76" s="9"/>
      <c r="V76" s="9"/>
      <c r="W76" s="7"/>
      <c r="X76" s="7"/>
      <c r="Y76" s="7"/>
      <c r="Z76" s="7"/>
      <c r="AA76" s="7"/>
    </row>
    <row r="77" spans="1:27" x14ac:dyDescent="0.25">
      <c r="B77" s="205"/>
      <c r="C77" s="90"/>
      <c r="D77" s="91"/>
      <c r="E77" s="202"/>
      <c r="F77" s="203"/>
      <c r="G77" s="203"/>
      <c r="H77" s="203"/>
      <c r="I77" s="203"/>
      <c r="J77" s="203"/>
      <c r="K77" s="203"/>
      <c r="L77" s="203"/>
      <c r="M77" s="203"/>
      <c r="N77" s="6">
        <v>69</v>
      </c>
      <c r="O77" s="9">
        <v>20</v>
      </c>
      <c r="P77" s="9" t="s">
        <v>69</v>
      </c>
      <c r="Q77" s="7"/>
      <c r="R77" s="7"/>
      <c r="S77" s="9" t="s">
        <v>69</v>
      </c>
      <c r="T77" s="9">
        <v>20</v>
      </c>
      <c r="U77" s="9"/>
      <c r="V77" s="9"/>
      <c r="W77" s="7"/>
      <c r="X77" s="7"/>
      <c r="Y77" s="7"/>
      <c r="Z77" s="7"/>
      <c r="AA77" s="7"/>
    </row>
    <row r="78" spans="1:27" x14ac:dyDescent="0.25">
      <c r="B78" s="205"/>
      <c r="C78" s="90"/>
      <c r="D78" s="91"/>
      <c r="E78" s="202"/>
      <c r="F78" s="203"/>
      <c r="G78" s="203"/>
      <c r="H78" s="203"/>
      <c r="I78" s="203"/>
      <c r="J78" s="203"/>
      <c r="K78" s="203"/>
      <c r="L78" s="203"/>
      <c r="M78" s="203"/>
      <c r="N78" s="6">
        <v>70</v>
      </c>
      <c r="O78" s="9">
        <v>20</v>
      </c>
      <c r="P78" s="9" t="s">
        <v>19</v>
      </c>
      <c r="Q78" s="7"/>
      <c r="R78" s="7"/>
      <c r="S78" s="9" t="s">
        <v>19</v>
      </c>
      <c r="T78" s="9">
        <v>20</v>
      </c>
      <c r="U78" s="9"/>
      <c r="V78" s="9"/>
      <c r="W78" s="7"/>
      <c r="X78" s="7"/>
      <c r="Y78" s="7"/>
      <c r="Z78" s="7"/>
      <c r="AA78" s="7"/>
    </row>
    <row r="79" spans="1:27" x14ac:dyDescent="0.25">
      <c r="B79" s="205"/>
      <c r="C79" s="90"/>
      <c r="D79" s="91"/>
      <c r="E79" s="202"/>
      <c r="F79" s="203"/>
      <c r="G79" s="203"/>
      <c r="H79" s="203"/>
      <c r="I79" s="203"/>
      <c r="J79" s="203"/>
      <c r="K79" s="203"/>
      <c r="L79" s="203"/>
      <c r="M79" s="203"/>
      <c r="N79" s="6">
        <v>71</v>
      </c>
      <c r="O79" s="9">
        <v>8</v>
      </c>
      <c r="P79" s="9" t="s">
        <v>20</v>
      </c>
      <c r="Q79" s="7"/>
      <c r="R79" s="7"/>
      <c r="S79" s="9" t="s">
        <v>20</v>
      </c>
      <c r="T79" s="9">
        <v>8</v>
      </c>
      <c r="U79" s="9"/>
      <c r="V79" s="9"/>
      <c r="W79" s="7"/>
      <c r="X79" s="7"/>
      <c r="Y79" s="7"/>
      <c r="Z79" s="7"/>
      <c r="AA79" s="7"/>
    </row>
    <row r="80" spans="1:27" x14ac:dyDescent="0.25">
      <c r="B80" s="205"/>
      <c r="C80" s="90"/>
      <c r="D80" s="91"/>
      <c r="E80" s="202"/>
      <c r="F80" s="203"/>
      <c r="G80" s="203"/>
      <c r="H80" s="203"/>
      <c r="I80" s="203"/>
      <c r="J80" s="203"/>
      <c r="K80" s="203"/>
      <c r="L80" s="203"/>
      <c r="M80" s="203"/>
      <c r="N80" s="6">
        <v>72</v>
      </c>
      <c r="O80" s="9">
        <v>20</v>
      </c>
      <c r="P80" s="9" t="s">
        <v>44</v>
      </c>
      <c r="Q80" s="7"/>
      <c r="R80" s="7"/>
      <c r="S80" s="9" t="s">
        <v>44</v>
      </c>
      <c r="T80" s="9">
        <v>20</v>
      </c>
      <c r="U80" s="9"/>
      <c r="V80" s="9"/>
      <c r="W80" s="7"/>
      <c r="X80" s="7"/>
      <c r="Y80" s="7"/>
      <c r="Z80" s="7"/>
      <c r="AA80" s="7"/>
    </row>
    <row r="81" spans="2:27" x14ac:dyDescent="0.25">
      <c r="B81" s="205"/>
      <c r="C81" s="90"/>
      <c r="D81" s="91"/>
      <c r="E81" s="202"/>
      <c r="F81" s="203"/>
      <c r="G81" s="203"/>
      <c r="H81" s="203"/>
      <c r="I81" s="203"/>
      <c r="J81" s="203"/>
      <c r="K81" s="203"/>
      <c r="L81" s="203"/>
      <c r="M81" s="203"/>
      <c r="N81" s="6">
        <v>73</v>
      </c>
      <c r="O81" s="9">
        <v>26.7</v>
      </c>
      <c r="P81" s="9" t="s">
        <v>370</v>
      </c>
      <c r="Q81" s="7"/>
      <c r="R81" s="7"/>
      <c r="S81" s="9" t="s">
        <v>370</v>
      </c>
      <c r="T81" s="9">
        <v>26.666666666666668</v>
      </c>
      <c r="U81" s="9"/>
      <c r="V81" s="9"/>
      <c r="W81" s="7"/>
      <c r="X81" s="7"/>
      <c r="Y81" s="7"/>
      <c r="Z81" s="7"/>
      <c r="AA81" s="7"/>
    </row>
    <row r="82" spans="2:27" x14ac:dyDescent="0.25">
      <c r="B82" s="205"/>
      <c r="C82" s="90"/>
      <c r="D82" s="91"/>
      <c r="E82" s="202"/>
      <c r="F82" s="203"/>
      <c r="G82" s="203"/>
      <c r="H82" s="203"/>
      <c r="I82" s="203"/>
      <c r="J82" s="203"/>
      <c r="K82" s="203"/>
      <c r="L82" s="203"/>
      <c r="M82" s="203"/>
      <c r="N82" s="6">
        <v>74</v>
      </c>
      <c r="O82" s="9">
        <v>33.299999999999997</v>
      </c>
      <c r="P82" s="9" t="s">
        <v>18</v>
      </c>
      <c r="Q82" s="7"/>
      <c r="R82" s="7"/>
      <c r="S82" s="9" t="s">
        <v>18</v>
      </c>
      <c r="T82" s="9">
        <v>33.333333333333336</v>
      </c>
      <c r="U82" s="9"/>
      <c r="V82" s="9"/>
      <c r="W82" s="7"/>
      <c r="X82" s="7"/>
      <c r="Y82" s="7"/>
      <c r="Z82" s="7"/>
      <c r="AA82" s="7"/>
    </row>
    <row r="83" spans="2:27" x14ac:dyDescent="0.25">
      <c r="B83" s="205"/>
      <c r="C83" s="90"/>
      <c r="D83" s="91"/>
      <c r="E83" s="202"/>
      <c r="F83" s="203"/>
      <c r="G83" s="203"/>
      <c r="H83" s="203"/>
      <c r="I83" s="203"/>
      <c r="J83" s="203"/>
      <c r="K83" s="203"/>
      <c r="L83" s="203"/>
      <c r="M83" s="203"/>
      <c r="N83" s="6">
        <v>75</v>
      </c>
      <c r="O83" s="9">
        <v>26.7</v>
      </c>
      <c r="P83" s="9" t="s">
        <v>28</v>
      </c>
      <c r="Q83" s="7"/>
      <c r="R83" s="7"/>
      <c r="S83" s="9" t="s">
        <v>28</v>
      </c>
      <c r="T83" s="9">
        <v>26.666666666666668</v>
      </c>
      <c r="U83" s="9"/>
      <c r="V83" s="9"/>
      <c r="W83" s="7"/>
      <c r="X83" s="7"/>
      <c r="Y83" s="7"/>
      <c r="Z83" s="7"/>
      <c r="AA83" s="7"/>
    </row>
    <row r="84" spans="2:27" x14ac:dyDescent="0.25">
      <c r="B84" s="205"/>
      <c r="C84" s="90"/>
      <c r="D84" s="91"/>
      <c r="E84" s="202"/>
      <c r="F84" s="203"/>
      <c r="G84" s="203"/>
      <c r="H84" s="203"/>
      <c r="I84" s="203"/>
      <c r="J84" s="203"/>
      <c r="K84" s="203"/>
      <c r="L84" s="203"/>
      <c r="M84" s="203"/>
      <c r="N84" s="6">
        <v>76</v>
      </c>
      <c r="O84" s="9">
        <v>35</v>
      </c>
      <c r="P84" s="9" t="s">
        <v>300</v>
      </c>
      <c r="Q84" s="7"/>
      <c r="R84" s="7"/>
      <c r="S84" s="9" t="s">
        <v>300</v>
      </c>
      <c r="T84" s="9">
        <v>35</v>
      </c>
      <c r="U84" s="9"/>
      <c r="V84" s="9"/>
      <c r="W84" s="7"/>
      <c r="X84" s="7"/>
      <c r="Y84" s="7"/>
      <c r="Z84" s="7"/>
      <c r="AA84" s="7"/>
    </row>
    <row r="85" spans="2:27" x14ac:dyDescent="0.25">
      <c r="B85" s="205"/>
      <c r="C85" s="90"/>
      <c r="D85" s="91"/>
      <c r="E85" s="202"/>
      <c r="F85" s="203"/>
      <c r="G85" s="203"/>
      <c r="H85" s="203"/>
      <c r="I85" s="203"/>
      <c r="J85" s="203"/>
      <c r="K85" s="203"/>
      <c r="L85" s="203"/>
      <c r="M85" s="203"/>
      <c r="N85" s="6">
        <v>77</v>
      </c>
      <c r="O85" s="9">
        <v>33.299999999999997</v>
      </c>
      <c r="P85" s="9" t="s">
        <v>49</v>
      </c>
      <c r="Q85" s="7"/>
      <c r="R85" s="7"/>
      <c r="S85" s="9" t="s">
        <v>49</v>
      </c>
      <c r="T85" s="9">
        <v>33.333333333333336</v>
      </c>
      <c r="U85" s="9"/>
      <c r="V85" s="9"/>
      <c r="W85" s="7"/>
      <c r="X85" s="7"/>
      <c r="Y85" s="7"/>
      <c r="Z85" s="7"/>
      <c r="AA85" s="7"/>
    </row>
    <row r="86" spans="2:27" x14ac:dyDescent="0.25">
      <c r="B86" s="205"/>
      <c r="C86" s="90"/>
      <c r="D86" s="91"/>
      <c r="E86" s="202"/>
      <c r="F86" s="203"/>
      <c r="G86" s="203"/>
      <c r="H86" s="203"/>
      <c r="I86" s="203"/>
      <c r="J86" s="203"/>
      <c r="K86" s="203"/>
      <c r="L86" s="203"/>
      <c r="M86" s="203"/>
      <c r="N86" s="6">
        <v>78</v>
      </c>
      <c r="O86" s="9">
        <v>20</v>
      </c>
      <c r="P86" s="9" t="s">
        <v>6</v>
      </c>
      <c r="Q86" s="7"/>
      <c r="R86" s="7"/>
      <c r="S86" s="9" t="s">
        <v>6</v>
      </c>
      <c r="T86" s="9">
        <v>20</v>
      </c>
      <c r="U86" s="9"/>
      <c r="V86" s="9"/>
      <c r="W86" s="7"/>
      <c r="X86" s="7"/>
      <c r="Y86" s="7"/>
      <c r="Z86" s="7"/>
      <c r="AA86" s="7"/>
    </row>
    <row r="87" spans="2:27" x14ac:dyDescent="0.25">
      <c r="B87" s="205"/>
      <c r="C87" s="92"/>
      <c r="D87" s="93"/>
      <c r="E87" s="202"/>
      <c r="F87" s="203"/>
      <c r="G87" s="203"/>
      <c r="H87" s="203"/>
      <c r="I87" s="203"/>
      <c r="J87" s="203"/>
      <c r="K87" s="203"/>
      <c r="L87" s="203"/>
      <c r="M87" s="203"/>
      <c r="O87" s="94"/>
      <c r="P87" s="95"/>
      <c r="Q87" s="7"/>
      <c r="R87" s="7"/>
      <c r="S87" s="9" t="s">
        <v>197</v>
      </c>
      <c r="T87" s="9">
        <v>276.33333333333331</v>
      </c>
      <c r="U87" s="9"/>
      <c r="V87" s="7"/>
      <c r="W87" s="7"/>
      <c r="X87" s="7"/>
      <c r="Y87" s="7"/>
      <c r="Z87" s="7"/>
      <c r="AA87" s="7"/>
    </row>
    <row r="88" spans="2:27" ht="28.5" customHeight="1" x14ac:dyDescent="0.25">
      <c r="B88"/>
      <c r="C88" s="96" t="s">
        <v>371</v>
      </c>
      <c r="D88" s="97" t="e">
        <f>AVERAGE(D75:D87)</f>
        <v>#DIV/0!</v>
      </c>
      <c r="F88"/>
      <c r="G88"/>
      <c r="H88"/>
      <c r="I88"/>
      <c r="J88"/>
      <c r="K88"/>
      <c r="L88"/>
      <c r="M88"/>
      <c r="O88" s="7"/>
      <c r="P88" s="7"/>
      <c r="Q88" s="7"/>
      <c r="R88" s="7"/>
      <c r="S88" s="9"/>
      <c r="T88" s="9"/>
      <c r="U88" s="9"/>
      <c r="V88" s="7"/>
      <c r="W88" s="7"/>
      <c r="X88" s="7"/>
      <c r="Y88" s="7"/>
      <c r="Z88" s="7"/>
      <c r="AA88" s="7"/>
    </row>
    <row r="89" spans="2:27" ht="28.5" customHeight="1" x14ac:dyDescent="0.25">
      <c r="B89"/>
      <c r="C89" s="196"/>
      <c r="D89" s="197"/>
      <c r="F89"/>
      <c r="G89"/>
      <c r="H89"/>
      <c r="I89"/>
      <c r="J89"/>
      <c r="K89"/>
      <c r="L89"/>
      <c r="M89"/>
      <c r="O89" s="7"/>
      <c r="P89" s="7"/>
      <c r="Q89" s="7"/>
      <c r="R89" s="7"/>
      <c r="S89" s="9"/>
      <c r="T89" s="9"/>
      <c r="U89" s="9"/>
      <c r="V89" s="7"/>
      <c r="W89" s="7"/>
      <c r="X89" s="7"/>
      <c r="Y89" s="7"/>
      <c r="Z89" s="7"/>
      <c r="AA89" s="7"/>
    </row>
    <row r="90" spans="2:27" ht="15" customHeight="1" x14ac:dyDescent="0.25">
      <c r="B90"/>
      <c r="C90" s="197"/>
      <c r="D90" s="197"/>
      <c r="F90"/>
      <c r="G90"/>
      <c r="H90"/>
      <c r="I90"/>
      <c r="J90"/>
      <c r="K90"/>
      <c r="L90"/>
      <c r="M90"/>
      <c r="O90" s="7"/>
      <c r="P90" s="7"/>
      <c r="Q90" s="7"/>
      <c r="R90" s="7"/>
      <c r="S90" s="9"/>
      <c r="T90" s="9"/>
      <c r="U90" s="9"/>
      <c r="V90" s="7"/>
      <c r="W90" s="7"/>
      <c r="X90" s="7"/>
      <c r="Y90" s="7"/>
      <c r="Z90" s="7"/>
      <c r="AA90" s="7"/>
    </row>
    <row r="91" spans="2:27" ht="5.25" customHeight="1" x14ac:dyDescent="0.25">
      <c r="B91" s="165"/>
      <c r="C91" s="166"/>
      <c r="D91" s="166"/>
      <c r="E91" s="166"/>
      <c r="F91" s="166"/>
      <c r="G91" s="166"/>
      <c r="H91" s="166"/>
      <c r="I91" s="166"/>
      <c r="J91" s="166"/>
      <c r="K91" s="166"/>
      <c r="L91" s="166"/>
      <c r="M91" s="166"/>
      <c r="O91" s="7"/>
      <c r="P91" s="7"/>
      <c r="Q91" s="7"/>
      <c r="R91" s="7"/>
      <c r="S91" s="9"/>
      <c r="T91" s="9"/>
      <c r="U91" s="9"/>
      <c r="V91" s="7"/>
      <c r="W91" s="7"/>
      <c r="X91" s="7"/>
      <c r="Y91" s="7"/>
      <c r="Z91" s="7"/>
      <c r="AA91" s="7"/>
    </row>
    <row r="92" spans="2:27" ht="18" x14ac:dyDescent="0.25">
      <c r="B92" s="193" t="s">
        <v>13</v>
      </c>
      <c r="C92" s="194"/>
      <c r="D92" s="194"/>
      <c r="E92" s="194"/>
      <c r="F92" s="194"/>
      <c r="G92" s="194"/>
      <c r="H92" s="194"/>
      <c r="I92" s="194"/>
      <c r="J92" s="194"/>
      <c r="K92" s="194"/>
      <c r="L92" s="194"/>
      <c r="M92" s="195"/>
      <c r="N92" s="6">
        <v>79</v>
      </c>
      <c r="O92" s="7"/>
      <c r="P92" s="7"/>
      <c r="Q92" s="7"/>
      <c r="R92" s="7"/>
      <c r="S92" s="9"/>
      <c r="T92" s="9"/>
      <c r="U92" s="9"/>
      <c r="V92" s="7"/>
      <c r="W92" s="7"/>
      <c r="X92" s="7"/>
      <c r="Y92" s="7"/>
      <c r="Z92" s="7"/>
      <c r="AA92" s="7"/>
    </row>
    <row r="93" spans="2:27" ht="3.75" customHeight="1" x14ac:dyDescent="0.25">
      <c r="B93" s="198"/>
      <c r="C93" s="199"/>
      <c r="D93" s="199"/>
      <c r="E93" s="199"/>
      <c r="F93" s="199"/>
      <c r="G93" s="199"/>
      <c r="H93" s="199"/>
      <c r="I93" s="199"/>
      <c r="J93" s="199"/>
      <c r="K93" s="199"/>
      <c r="L93" s="199"/>
      <c r="M93" s="199"/>
      <c r="N93" s="6">
        <v>80</v>
      </c>
      <c r="O93" s="7"/>
      <c r="P93" s="7"/>
      <c r="Q93" s="7"/>
      <c r="R93" s="7"/>
      <c r="S93" s="9"/>
      <c r="T93" s="9"/>
      <c r="U93" s="9"/>
      <c r="V93" s="7"/>
      <c r="W93" s="7"/>
      <c r="X93" s="7"/>
      <c r="Y93" s="7"/>
      <c r="Z93" s="7"/>
      <c r="AA93" s="7"/>
    </row>
    <row r="94" spans="2:27" x14ac:dyDescent="0.25">
      <c r="B94" s="200" t="s">
        <v>14</v>
      </c>
      <c r="C94" s="201"/>
      <c r="D94" s="201"/>
      <c r="E94" s="201"/>
      <c r="F94" s="201"/>
      <c r="G94" s="201"/>
      <c r="H94" s="200" t="s">
        <v>15</v>
      </c>
      <c r="I94" s="201"/>
      <c r="J94" s="201"/>
      <c r="K94" s="201"/>
      <c r="L94" s="201"/>
      <c r="M94" s="201"/>
      <c r="N94" s="6">
        <v>81</v>
      </c>
      <c r="O94" s="7"/>
      <c r="P94" s="7"/>
      <c r="Q94" s="7" t="e">
        <f>buscar</f>
        <v>#NAME?</v>
      </c>
      <c r="R94" s="7"/>
      <c r="S94" s="9"/>
      <c r="T94" s="9"/>
      <c r="U94" s="9"/>
      <c r="V94" s="7"/>
      <c r="W94" s="7"/>
      <c r="X94" s="7"/>
      <c r="Y94" s="7"/>
      <c r="Z94" s="7"/>
      <c r="AA94" s="7"/>
    </row>
    <row r="95" spans="2:27" ht="4.5" customHeight="1" x14ac:dyDescent="0.25">
      <c r="B95" s="187"/>
      <c r="C95" s="188"/>
      <c r="D95" s="188"/>
      <c r="E95" s="188"/>
      <c r="F95" s="188"/>
      <c r="G95" s="188"/>
      <c r="H95" s="188"/>
      <c r="I95" s="188"/>
      <c r="J95" s="188"/>
      <c r="K95" s="188"/>
      <c r="L95" s="188"/>
      <c r="M95" s="188"/>
      <c r="N95" s="6">
        <v>82</v>
      </c>
      <c r="O95" s="7"/>
      <c r="P95" s="7"/>
      <c r="Q95" s="7"/>
      <c r="R95" s="7"/>
      <c r="S95" s="9"/>
      <c r="T95" s="9"/>
      <c r="U95" s="9"/>
      <c r="V95" s="7"/>
      <c r="W95" s="7"/>
      <c r="X95" s="7"/>
      <c r="Y95" s="7"/>
      <c r="Z95" s="7"/>
      <c r="AA95" s="7"/>
    </row>
    <row r="96" spans="2:27" ht="33" customHeight="1" x14ac:dyDescent="0.25">
      <c r="B96" s="189"/>
      <c r="C96" s="190"/>
      <c r="D96" s="190"/>
      <c r="E96" s="190"/>
      <c r="F96" s="190"/>
      <c r="G96" s="190"/>
      <c r="H96" s="191"/>
      <c r="I96" s="192"/>
      <c r="J96" s="192"/>
      <c r="K96" s="192"/>
      <c r="L96" s="192"/>
      <c r="M96" s="192"/>
      <c r="N96" s="6">
        <v>83</v>
      </c>
      <c r="O96" s="10" t="e">
        <f>SMALL($D$75:$D$84,3)</f>
        <v>#NUM!</v>
      </c>
      <c r="P96" s="7"/>
      <c r="Q96" s="7">
        <f ca="1">OFFSET(D74,MAX(IF(D:D&lt;&gt;"",ROW(D:D)))-1,0)</f>
        <v>0</v>
      </c>
      <c r="R96" s="7">
        <v>86</v>
      </c>
      <c r="S96" s="9"/>
      <c r="T96" s="9"/>
      <c r="U96" s="9"/>
      <c r="V96" s="7"/>
      <c r="W96" s="7"/>
      <c r="X96" s="7"/>
      <c r="Y96" s="7"/>
      <c r="Z96" s="7"/>
      <c r="AA96" s="7"/>
    </row>
    <row r="97" spans="1:27" ht="12" customHeight="1" x14ac:dyDescent="0.25">
      <c r="B97" s="187"/>
      <c r="C97" s="188"/>
      <c r="D97" s="188"/>
      <c r="E97" s="188"/>
      <c r="F97" s="188"/>
      <c r="G97" s="188"/>
      <c r="H97" s="188"/>
      <c r="I97" s="188"/>
      <c r="J97" s="188"/>
      <c r="K97" s="188"/>
      <c r="L97" s="188"/>
      <c r="M97" s="188"/>
      <c r="N97" s="6">
        <v>84</v>
      </c>
      <c r="O97" s="10" t="e">
        <f t="shared" ref="O97:O99" si="0">SMALL($D$75:$D$84,3)</f>
        <v>#NUM!</v>
      </c>
      <c r="P97" s="7"/>
      <c r="Q97" s="7"/>
      <c r="R97" s="7"/>
      <c r="S97" s="9"/>
      <c r="T97" s="9"/>
      <c r="U97" s="9"/>
      <c r="V97" s="7"/>
      <c r="W97" s="7"/>
      <c r="X97" s="7"/>
      <c r="Y97" s="7"/>
      <c r="Z97" s="7"/>
      <c r="AA97" s="7"/>
    </row>
    <row r="98" spans="1:27" ht="33" customHeight="1" x14ac:dyDescent="0.25">
      <c r="B98" s="189"/>
      <c r="C98" s="190"/>
      <c r="D98" s="190"/>
      <c r="E98" s="190"/>
      <c r="F98" s="190"/>
      <c r="G98" s="190"/>
      <c r="H98" s="191"/>
      <c r="I98" s="192"/>
      <c r="J98" s="192"/>
      <c r="K98" s="192"/>
      <c r="L98" s="192"/>
      <c r="M98" s="192"/>
      <c r="N98" s="6">
        <v>85</v>
      </c>
      <c r="O98" s="10" t="e">
        <f>SMALL($D$75:$D$84,2)</f>
        <v>#NUM!</v>
      </c>
      <c r="P98" s="7"/>
      <c r="Q98" s="7"/>
      <c r="R98" s="7"/>
      <c r="S98" s="9"/>
      <c r="T98" s="9"/>
      <c r="U98" s="9"/>
      <c r="V98" s="7"/>
      <c r="W98" s="7"/>
      <c r="X98" s="7"/>
      <c r="Y98" s="7"/>
      <c r="Z98" s="7"/>
      <c r="AA98" s="7"/>
    </row>
    <row r="99" spans="1:27" ht="10.5" customHeight="1" x14ac:dyDescent="0.25">
      <c r="B99" s="187"/>
      <c r="C99" s="188"/>
      <c r="D99" s="188"/>
      <c r="E99" s="188"/>
      <c r="F99" s="188"/>
      <c r="G99" s="188"/>
      <c r="H99" s="188"/>
      <c r="I99" s="188"/>
      <c r="J99" s="188"/>
      <c r="K99" s="188"/>
      <c r="L99" s="188"/>
      <c r="M99" s="188"/>
      <c r="N99" s="6">
        <v>86</v>
      </c>
      <c r="O99" s="10" t="e">
        <f t="shared" si="0"/>
        <v>#NUM!</v>
      </c>
      <c r="P99" s="7"/>
      <c r="Q99" s="7"/>
      <c r="R99" s="7"/>
      <c r="S99" s="9"/>
      <c r="T99" s="9"/>
      <c r="U99" s="9"/>
      <c r="V99" s="7"/>
      <c r="W99" s="7"/>
      <c r="X99" s="7"/>
      <c r="Y99" s="7"/>
      <c r="Z99" s="7"/>
      <c r="AA99" s="7"/>
    </row>
    <row r="100" spans="1:27" ht="33" customHeight="1" x14ac:dyDescent="0.25">
      <c r="B100" s="189"/>
      <c r="C100" s="190"/>
      <c r="D100" s="190"/>
      <c r="E100" s="190"/>
      <c r="F100" s="190"/>
      <c r="G100" s="190"/>
      <c r="H100" s="191"/>
      <c r="I100" s="192"/>
      <c r="J100" s="192"/>
      <c r="K100" s="192"/>
      <c r="L100" s="192"/>
      <c r="M100" s="192"/>
      <c r="N100" s="6">
        <v>87</v>
      </c>
      <c r="O100" s="10" t="e">
        <f>SMALL($D$75:$D$84,1)</f>
        <v>#NUM!</v>
      </c>
      <c r="P100" s="7"/>
      <c r="Q100" s="7"/>
      <c r="R100" s="7"/>
      <c r="S100" s="9"/>
      <c r="T100" s="9"/>
      <c r="U100" s="9"/>
      <c r="V100" s="7"/>
      <c r="W100" s="7"/>
      <c r="X100" s="7"/>
      <c r="Y100" s="7"/>
      <c r="Z100" s="7"/>
      <c r="AA100" s="7"/>
    </row>
    <row r="101" spans="1:27" ht="6.75" customHeight="1" x14ac:dyDescent="0.25">
      <c r="B101" s="165"/>
      <c r="C101" s="166"/>
      <c r="D101" s="166"/>
      <c r="E101" s="166"/>
      <c r="F101" s="166"/>
      <c r="G101" s="166"/>
      <c r="H101" s="166"/>
      <c r="I101" s="166"/>
      <c r="J101" s="166"/>
      <c r="K101" s="166"/>
      <c r="L101" s="166"/>
      <c r="M101" s="166"/>
      <c r="N101" s="6">
        <v>88</v>
      </c>
      <c r="O101" s="7"/>
      <c r="P101" s="7"/>
      <c r="Q101" s="7"/>
      <c r="R101" s="7"/>
      <c r="S101" s="9"/>
      <c r="T101" s="9"/>
      <c r="U101" s="9"/>
      <c r="V101" s="7"/>
      <c r="W101" s="7"/>
      <c r="X101" s="7"/>
      <c r="Y101" s="7"/>
      <c r="Z101" s="7"/>
      <c r="AA101" s="7"/>
    </row>
    <row r="102" spans="1:27" ht="18" x14ac:dyDescent="0.25">
      <c r="B102" s="193" t="s">
        <v>16</v>
      </c>
      <c r="C102" s="194"/>
      <c r="D102" s="194"/>
      <c r="E102" s="194"/>
      <c r="F102" s="194"/>
      <c r="G102" s="194"/>
      <c r="H102" s="194"/>
      <c r="I102" s="194"/>
      <c r="J102" s="194"/>
      <c r="K102" s="194"/>
      <c r="L102" s="194"/>
      <c r="M102" s="195"/>
      <c r="N102" s="6">
        <v>90</v>
      </c>
      <c r="O102" s="7"/>
      <c r="P102" s="7"/>
      <c r="Q102" s="7"/>
      <c r="R102" s="7"/>
      <c r="S102" s="7"/>
      <c r="T102" s="7"/>
      <c r="U102" s="7"/>
      <c r="V102" s="7"/>
      <c r="W102" s="7"/>
      <c r="X102" s="7"/>
      <c r="Y102" s="7"/>
      <c r="Z102" s="7"/>
      <c r="AA102" s="7"/>
    </row>
    <row r="103" spans="1:27" s="2" customFormat="1" ht="4.5" customHeight="1" x14ac:dyDescent="0.25">
      <c r="A103" s="1"/>
      <c r="B103" s="165"/>
      <c r="C103" s="166"/>
      <c r="D103" s="166"/>
      <c r="E103" s="166"/>
      <c r="F103" s="166"/>
      <c r="G103" s="166"/>
      <c r="H103" s="166"/>
      <c r="I103" s="166"/>
      <c r="J103" s="166"/>
      <c r="K103" s="166"/>
      <c r="L103" s="166"/>
      <c r="M103" s="166"/>
      <c r="N103" s="6">
        <v>91</v>
      </c>
      <c r="O103" s="8"/>
      <c r="P103" s="8"/>
      <c r="Q103" s="8"/>
      <c r="R103" s="8"/>
      <c r="S103" s="8"/>
      <c r="T103" s="8"/>
      <c r="U103" s="8"/>
      <c r="V103" s="8"/>
      <c r="W103" s="8"/>
      <c r="X103" s="8"/>
      <c r="Y103" s="8"/>
      <c r="Z103" s="8"/>
      <c r="AA103" s="8"/>
    </row>
    <row r="104" spans="1:27" ht="33" customHeight="1" x14ac:dyDescent="0.25">
      <c r="B104" s="180"/>
      <c r="C104" s="181"/>
      <c r="D104" s="181"/>
      <c r="E104" s="181"/>
      <c r="F104" s="181"/>
      <c r="G104" s="181"/>
      <c r="H104" s="181"/>
      <c r="I104" s="181"/>
      <c r="J104" s="181"/>
      <c r="K104" s="181"/>
      <c r="L104" s="181"/>
      <c r="M104" s="181"/>
      <c r="N104" s="6">
        <v>93</v>
      </c>
      <c r="O104" s="7"/>
      <c r="P104" s="7"/>
      <c r="Q104" s="7"/>
      <c r="R104" s="7"/>
      <c r="S104" s="7"/>
      <c r="T104" s="7"/>
      <c r="U104" s="7"/>
      <c r="V104" s="7"/>
      <c r="W104" s="7"/>
      <c r="X104" s="7"/>
      <c r="Y104" s="7"/>
      <c r="Z104" s="7"/>
      <c r="AA104" s="7"/>
    </row>
    <row r="105" spans="1:27" ht="5.25" customHeight="1" x14ac:dyDescent="0.25">
      <c r="B105" s="165"/>
      <c r="C105" s="166"/>
      <c r="D105" s="166"/>
      <c r="E105" s="166"/>
      <c r="F105" s="166"/>
      <c r="G105" s="166"/>
      <c r="H105" s="166"/>
      <c r="I105" s="166"/>
      <c r="J105" s="166"/>
      <c r="K105" s="166"/>
      <c r="L105" s="166"/>
      <c r="M105" s="166"/>
      <c r="N105" s="6">
        <v>94</v>
      </c>
      <c r="O105" s="7"/>
      <c r="P105" s="7"/>
      <c r="Q105" s="7"/>
      <c r="R105" s="7"/>
      <c r="S105" s="7"/>
      <c r="T105" s="7"/>
      <c r="U105" s="7"/>
      <c r="V105" s="7"/>
      <c r="W105" s="7"/>
      <c r="X105" s="7"/>
      <c r="Y105" s="7"/>
      <c r="Z105" s="7"/>
      <c r="AA105" s="7"/>
    </row>
    <row r="106" spans="1:27" ht="33" customHeight="1" x14ac:dyDescent="0.25">
      <c r="B106" s="180"/>
      <c r="C106" s="181"/>
      <c r="D106" s="181"/>
      <c r="E106" s="181"/>
      <c r="F106" s="181"/>
      <c r="G106" s="181"/>
      <c r="H106" s="181"/>
      <c r="I106" s="181"/>
      <c r="J106" s="181"/>
      <c r="K106" s="181"/>
      <c r="L106" s="181"/>
      <c r="M106" s="181"/>
      <c r="N106" s="6">
        <v>95</v>
      </c>
      <c r="O106" s="7"/>
      <c r="P106" s="7"/>
      <c r="Q106" s="7"/>
      <c r="R106" s="7"/>
      <c r="S106" s="7"/>
      <c r="T106" s="7"/>
      <c r="U106" s="7"/>
      <c r="V106" s="7"/>
      <c r="W106" s="7"/>
      <c r="X106" s="7"/>
      <c r="Y106" s="7"/>
      <c r="Z106" s="7"/>
      <c r="AA106" s="7"/>
    </row>
    <row r="107" spans="1:27" ht="5.25" customHeight="1" x14ac:dyDescent="0.25">
      <c r="B107" s="165"/>
      <c r="C107" s="166"/>
      <c r="D107" s="166"/>
      <c r="E107" s="166"/>
      <c r="F107" s="166"/>
      <c r="G107" s="166"/>
      <c r="H107" s="166"/>
      <c r="I107" s="166"/>
      <c r="J107" s="166"/>
      <c r="K107" s="166"/>
      <c r="L107" s="166"/>
      <c r="M107" s="166"/>
      <c r="N107" s="6">
        <v>96</v>
      </c>
      <c r="O107" s="7"/>
      <c r="P107" s="7"/>
      <c r="Q107" s="7"/>
      <c r="R107" s="7"/>
      <c r="S107" s="7"/>
      <c r="T107" s="7"/>
      <c r="U107" s="7"/>
      <c r="V107" s="7"/>
      <c r="W107" s="7"/>
      <c r="X107" s="7"/>
      <c r="Y107" s="7"/>
      <c r="Z107" s="7"/>
      <c r="AA107" s="7"/>
    </row>
    <row r="108" spans="1:27" ht="33" customHeight="1" x14ac:dyDescent="0.25">
      <c r="B108" s="180"/>
      <c r="C108" s="181"/>
      <c r="D108" s="181"/>
      <c r="E108" s="181"/>
      <c r="F108" s="181"/>
      <c r="G108" s="181"/>
      <c r="H108" s="181"/>
      <c r="I108" s="181"/>
      <c r="J108" s="181"/>
      <c r="K108" s="181"/>
      <c r="L108" s="181"/>
      <c r="M108" s="181"/>
      <c r="N108" s="6">
        <v>97</v>
      </c>
      <c r="O108" s="7"/>
      <c r="P108" s="7"/>
      <c r="Q108" s="7"/>
      <c r="R108" s="7"/>
      <c r="S108" s="7"/>
      <c r="T108" s="7"/>
      <c r="U108" s="7"/>
      <c r="V108" s="7"/>
      <c r="W108" s="7"/>
      <c r="X108" s="7"/>
      <c r="Y108" s="7"/>
      <c r="Z108" s="7"/>
      <c r="AA108" s="7"/>
    </row>
    <row r="109" spans="1:27" ht="7.5" customHeight="1" x14ac:dyDescent="0.25">
      <c r="B109" s="98"/>
      <c r="C109" s="99"/>
      <c r="D109" s="99"/>
      <c r="E109" s="99"/>
      <c r="F109" s="99"/>
      <c r="G109" s="99"/>
      <c r="H109" s="99"/>
      <c r="I109" s="99"/>
      <c r="J109" s="99"/>
      <c r="K109" s="99"/>
      <c r="L109" s="99"/>
      <c r="M109" s="99"/>
      <c r="O109" s="7"/>
      <c r="P109" s="7"/>
      <c r="Q109" s="7"/>
      <c r="R109" s="7"/>
      <c r="S109" s="7"/>
      <c r="T109" s="7"/>
      <c r="U109" s="7"/>
      <c r="V109" s="7"/>
      <c r="W109" s="7"/>
      <c r="X109" s="7"/>
      <c r="Y109" s="7"/>
      <c r="Z109" s="7"/>
      <c r="AA109" s="7"/>
    </row>
    <row r="110" spans="1:27" ht="76.5" customHeight="1" x14ac:dyDescent="0.25">
      <c r="B110" s="182" t="s">
        <v>372</v>
      </c>
      <c r="C110" s="183"/>
      <c r="D110" s="184" t="s">
        <v>373</v>
      </c>
      <c r="E110" s="185"/>
      <c r="F110" s="185"/>
      <c r="G110" s="185"/>
      <c r="H110" s="185"/>
      <c r="I110" s="185"/>
      <c r="J110" s="185"/>
      <c r="K110" s="185"/>
      <c r="L110" s="185"/>
      <c r="M110" s="186"/>
      <c r="O110" s="7"/>
      <c r="P110" s="7"/>
      <c r="Q110" s="7"/>
      <c r="R110" s="7"/>
      <c r="S110" s="7"/>
      <c r="T110" s="7"/>
      <c r="U110" s="7"/>
      <c r="V110" s="7"/>
      <c r="W110" s="7"/>
      <c r="X110" s="7"/>
      <c r="Y110" s="7"/>
      <c r="Z110" s="7"/>
      <c r="AA110" s="7"/>
    </row>
    <row r="111" spans="1:27" ht="41.25" customHeight="1" x14ac:dyDescent="0.25">
      <c r="B111" s="162"/>
      <c r="C111" s="163"/>
      <c r="D111" s="163"/>
      <c r="E111" s="163"/>
      <c r="F111" s="163"/>
      <c r="G111" s="163"/>
      <c r="H111" s="163"/>
      <c r="I111" s="163"/>
      <c r="J111" s="163"/>
      <c r="K111" s="163"/>
      <c r="L111" s="163"/>
      <c r="M111" s="164"/>
      <c r="O111" s="7"/>
      <c r="P111" s="7"/>
      <c r="Q111" s="7"/>
      <c r="R111" s="7"/>
      <c r="S111" s="7"/>
      <c r="T111" s="7"/>
      <c r="U111" s="7"/>
      <c r="V111" s="7"/>
      <c r="W111" s="7"/>
      <c r="X111" s="7"/>
      <c r="Y111" s="7"/>
      <c r="Z111" s="7"/>
      <c r="AA111" s="7"/>
    </row>
    <row r="112" spans="1:27" ht="12" customHeight="1" x14ac:dyDescent="0.25">
      <c r="B112" s="165"/>
      <c r="C112" s="166"/>
      <c r="D112" s="166"/>
      <c r="E112" s="166"/>
      <c r="F112" s="166"/>
      <c r="G112" s="166"/>
      <c r="H112" s="166"/>
      <c r="I112" s="166"/>
      <c r="J112" s="166"/>
      <c r="K112" s="166"/>
      <c r="L112" s="166"/>
      <c r="M112" s="166"/>
      <c r="N112" s="6">
        <v>98</v>
      </c>
      <c r="O112" s="7"/>
      <c r="P112" s="7"/>
      <c r="Q112" s="7"/>
      <c r="R112" s="7"/>
      <c r="S112" s="7"/>
      <c r="T112" s="7"/>
      <c r="U112" s="7"/>
      <c r="V112" s="7"/>
      <c r="W112" s="7"/>
      <c r="X112" s="7"/>
      <c r="Y112" s="7"/>
      <c r="Z112" s="7"/>
      <c r="AA112" s="7"/>
    </row>
    <row r="113" spans="2:27" ht="48.75" customHeight="1" x14ac:dyDescent="0.25">
      <c r="B113" s="167"/>
      <c r="C113" s="168"/>
      <c r="D113" s="168"/>
      <c r="E113" s="169"/>
      <c r="F113" s="170"/>
      <c r="G113" s="171"/>
      <c r="H113" s="171"/>
      <c r="I113" s="171"/>
      <c r="J113" s="171"/>
      <c r="K113" s="172"/>
      <c r="L113" s="173"/>
      <c r="M113" s="174"/>
      <c r="N113" s="6">
        <v>100</v>
      </c>
      <c r="O113" s="7"/>
      <c r="P113" s="7"/>
      <c r="Q113" s="7"/>
      <c r="R113" s="7"/>
      <c r="S113" s="7"/>
      <c r="T113" s="7"/>
      <c r="U113" s="7"/>
      <c r="V113" s="7"/>
      <c r="W113" s="7"/>
      <c r="X113" s="7"/>
      <c r="Y113" s="7"/>
      <c r="Z113" s="7"/>
      <c r="AA113" s="7"/>
    </row>
    <row r="114" spans="2:27" ht="14.25" customHeight="1" x14ac:dyDescent="0.3">
      <c r="B114" s="175" t="str">
        <f>IF(L7="AUTOEVALUACION","","Firma de evaluador (Jefe inmediato)")</f>
        <v/>
      </c>
      <c r="C114" s="176"/>
      <c r="D114" s="176"/>
      <c r="E114" s="177"/>
      <c r="F114" s="175" t="s">
        <v>17</v>
      </c>
      <c r="G114" s="178"/>
      <c r="H114" s="178"/>
      <c r="I114" s="178"/>
      <c r="J114" s="178"/>
      <c r="K114" s="179"/>
      <c r="L114" s="175" t="s">
        <v>27</v>
      </c>
      <c r="M114" s="179"/>
      <c r="N114" s="6">
        <v>101</v>
      </c>
      <c r="O114" s="7"/>
      <c r="P114" s="7"/>
      <c r="Q114" s="7"/>
      <c r="R114" s="7"/>
      <c r="S114" s="7"/>
      <c r="T114" s="7"/>
      <c r="U114" s="7"/>
      <c r="V114" s="7"/>
      <c r="W114" s="7"/>
      <c r="X114" s="7"/>
      <c r="Y114" s="7"/>
      <c r="Z114" s="7"/>
      <c r="AA114" s="7"/>
    </row>
    <row r="115" spans="2:27" ht="17.25" x14ac:dyDescent="0.3">
      <c r="B115" s="159" t="str">
        <f>IF(L7="AUTOEVALUACION","",VLOOKUP(D5,[4]BDATOS!$A$2:$D$60,4,0))</f>
        <v/>
      </c>
      <c r="C115" s="160"/>
      <c r="D115" s="160"/>
      <c r="E115" s="161"/>
      <c r="F115" s="159" t="str">
        <f>+L71</f>
        <v>CERVANTES DIAZ SHIRLEY</v>
      </c>
      <c r="G115" s="160"/>
      <c r="H115" s="160"/>
      <c r="I115" s="160"/>
      <c r="J115" s="160"/>
      <c r="K115" s="161"/>
      <c r="L115" s="159" t="str">
        <f>VLOOKUP(I72,[4]BDATOS!$B$2:$F$60,5,0)</f>
        <v>CERVANTES DIAZ SHIRLEY</v>
      </c>
      <c r="M115" s="161"/>
      <c r="N115" s="6">
        <v>102</v>
      </c>
      <c r="O115" s="7"/>
      <c r="P115" s="7"/>
      <c r="Q115" s="7"/>
      <c r="R115" s="7"/>
      <c r="S115" s="7"/>
      <c r="T115" s="7"/>
      <c r="U115" s="7"/>
      <c r="V115" s="7"/>
      <c r="W115" s="7"/>
      <c r="X115" s="7"/>
      <c r="Y115" s="7"/>
      <c r="Z115" s="7"/>
      <c r="AA115" s="7"/>
    </row>
    <row r="116" spans="2:27" ht="7.5" customHeight="1" x14ac:dyDescent="0.25">
      <c r="O116" s="7"/>
      <c r="P116" s="7"/>
      <c r="Q116" s="7"/>
      <c r="R116" s="7"/>
      <c r="S116" s="7"/>
      <c r="T116" s="7"/>
      <c r="U116" s="7"/>
      <c r="V116" s="7"/>
      <c r="W116" s="7"/>
      <c r="X116" s="7"/>
      <c r="Y116" s="7"/>
      <c r="Z116" s="7"/>
      <c r="AA116" s="7"/>
    </row>
    <row r="117" spans="2:27" ht="7.5" customHeight="1" x14ac:dyDescent="0.25">
      <c r="M117" s="3"/>
      <c r="O117" s="7"/>
      <c r="P117" s="7"/>
      <c r="Q117" s="7"/>
      <c r="R117" s="7"/>
      <c r="S117" s="7"/>
      <c r="T117" s="7"/>
      <c r="U117" s="7"/>
      <c r="V117" s="7"/>
      <c r="W117" s="7"/>
      <c r="X117" s="7"/>
      <c r="Y117" s="7"/>
      <c r="Z117" s="7"/>
      <c r="AA117" s="7"/>
    </row>
    <row r="118" spans="2:27" hidden="1" x14ac:dyDescent="0.25"/>
    <row r="119" spans="2:27" hidden="1" x14ac:dyDescent="0.25"/>
  </sheetData>
  <sheetProtection selectLockedCells="1"/>
  <mergeCells count="152">
    <mergeCell ref="B1:C3"/>
    <mergeCell ref="D1:L2"/>
    <mergeCell ref="D3:L3"/>
    <mergeCell ref="B4:M4"/>
    <mergeCell ref="B5:C5"/>
    <mergeCell ref="D5:I5"/>
    <mergeCell ref="B9:C9"/>
    <mergeCell ref="D9:I9"/>
    <mergeCell ref="J9:K9"/>
    <mergeCell ref="L9:M9"/>
    <mergeCell ref="B10:M10"/>
    <mergeCell ref="B11:M11"/>
    <mergeCell ref="B6:M6"/>
    <mergeCell ref="B7:C7"/>
    <mergeCell ref="D7:I7"/>
    <mergeCell ref="J7:K7"/>
    <mergeCell ref="L7:M7"/>
    <mergeCell ref="B8:M8"/>
    <mergeCell ref="B12:M12"/>
    <mergeCell ref="B13:I13"/>
    <mergeCell ref="J13:M13"/>
    <mergeCell ref="B14:H14"/>
    <mergeCell ref="I14:L14"/>
    <mergeCell ref="B15:H18"/>
    <mergeCell ref="I15:L15"/>
    <mergeCell ref="I16:L16"/>
    <mergeCell ref="I17:L17"/>
    <mergeCell ref="I18:L18"/>
    <mergeCell ref="B19:H22"/>
    <mergeCell ref="I19:L19"/>
    <mergeCell ref="I20:L20"/>
    <mergeCell ref="I21:L21"/>
    <mergeCell ref="I22:L22"/>
    <mergeCell ref="B23:H26"/>
    <mergeCell ref="I23:L23"/>
    <mergeCell ref="I24:L24"/>
    <mergeCell ref="I25:L25"/>
    <mergeCell ref="I26:L26"/>
    <mergeCell ref="B27:H30"/>
    <mergeCell ref="I27:L27"/>
    <mergeCell ref="I28:L28"/>
    <mergeCell ref="I29:L29"/>
    <mergeCell ref="I30:L30"/>
    <mergeCell ref="B31:H34"/>
    <mergeCell ref="I31:L31"/>
    <mergeCell ref="I32:L32"/>
    <mergeCell ref="I33:L33"/>
    <mergeCell ref="I34:L34"/>
    <mergeCell ref="B40:H45"/>
    <mergeCell ref="I40:L40"/>
    <mergeCell ref="I41:L41"/>
    <mergeCell ref="I42:L42"/>
    <mergeCell ref="I43:L43"/>
    <mergeCell ref="I44:L44"/>
    <mergeCell ref="I45:L45"/>
    <mergeCell ref="B35:H39"/>
    <mergeCell ref="I35:L35"/>
    <mergeCell ref="I36:L36"/>
    <mergeCell ref="I37:L37"/>
    <mergeCell ref="I38:L38"/>
    <mergeCell ref="I39:L39"/>
    <mergeCell ref="B46:H49"/>
    <mergeCell ref="I46:L46"/>
    <mergeCell ref="I47:L47"/>
    <mergeCell ref="I48:L48"/>
    <mergeCell ref="I49:L49"/>
    <mergeCell ref="B50:H53"/>
    <mergeCell ref="I50:L50"/>
    <mergeCell ref="I51:L51"/>
    <mergeCell ref="I52:L52"/>
    <mergeCell ref="I53:L53"/>
    <mergeCell ref="I62:L62"/>
    <mergeCell ref="B63:H66"/>
    <mergeCell ref="I63:L63"/>
    <mergeCell ref="I64:L64"/>
    <mergeCell ref="I65:L65"/>
    <mergeCell ref="I66:L66"/>
    <mergeCell ref="B54:H57"/>
    <mergeCell ref="I54:L54"/>
    <mergeCell ref="I55:L55"/>
    <mergeCell ref="I56:L56"/>
    <mergeCell ref="I57:L57"/>
    <mergeCell ref="B58:H62"/>
    <mergeCell ref="I58:L58"/>
    <mergeCell ref="I59:L59"/>
    <mergeCell ref="I60:L60"/>
    <mergeCell ref="I61:L61"/>
    <mergeCell ref="B70:M70"/>
    <mergeCell ref="B71:I71"/>
    <mergeCell ref="J71:K71"/>
    <mergeCell ref="L71:M71"/>
    <mergeCell ref="B72:H72"/>
    <mergeCell ref="J72:K72"/>
    <mergeCell ref="L72:M72"/>
    <mergeCell ref="B67:H67"/>
    <mergeCell ref="I67:L67"/>
    <mergeCell ref="B68:H68"/>
    <mergeCell ref="I68:L68"/>
    <mergeCell ref="B69:H69"/>
    <mergeCell ref="I69:L69"/>
    <mergeCell ref="E82:M82"/>
    <mergeCell ref="E83:M83"/>
    <mergeCell ref="E84:M84"/>
    <mergeCell ref="E85:M85"/>
    <mergeCell ref="E86:M86"/>
    <mergeCell ref="E87:M87"/>
    <mergeCell ref="B73:M73"/>
    <mergeCell ref="B74:B87"/>
    <mergeCell ref="E74:M74"/>
    <mergeCell ref="E75:M75"/>
    <mergeCell ref="E76:M76"/>
    <mergeCell ref="E77:M77"/>
    <mergeCell ref="E78:M78"/>
    <mergeCell ref="E79:M79"/>
    <mergeCell ref="E80:M80"/>
    <mergeCell ref="E81:M81"/>
    <mergeCell ref="B95:M95"/>
    <mergeCell ref="B96:G96"/>
    <mergeCell ref="H96:M96"/>
    <mergeCell ref="B97:M97"/>
    <mergeCell ref="B98:G98"/>
    <mergeCell ref="H98:M98"/>
    <mergeCell ref="C89:D90"/>
    <mergeCell ref="B91:M91"/>
    <mergeCell ref="B92:M92"/>
    <mergeCell ref="B93:M93"/>
    <mergeCell ref="B94:G94"/>
    <mergeCell ref="H94:M94"/>
    <mergeCell ref="B104:M104"/>
    <mergeCell ref="B105:M105"/>
    <mergeCell ref="B106:M106"/>
    <mergeCell ref="B107:M107"/>
    <mergeCell ref="B108:M108"/>
    <mergeCell ref="B110:C110"/>
    <mergeCell ref="D110:M110"/>
    <mergeCell ref="B99:M99"/>
    <mergeCell ref="B100:G100"/>
    <mergeCell ref="H100:M100"/>
    <mergeCell ref="B101:M101"/>
    <mergeCell ref="B102:M102"/>
    <mergeCell ref="B103:M103"/>
    <mergeCell ref="B115:E115"/>
    <mergeCell ref="F115:K115"/>
    <mergeCell ref="L115:M115"/>
    <mergeCell ref="B111:M111"/>
    <mergeCell ref="B112:M112"/>
    <mergeCell ref="B113:E113"/>
    <mergeCell ref="F113:K113"/>
    <mergeCell ref="L113:M113"/>
    <mergeCell ref="B114:E114"/>
    <mergeCell ref="F114:K114"/>
    <mergeCell ref="L114:M114"/>
  </mergeCells>
  <dataValidations count="2">
    <dataValidation allowBlank="1" showInputMessage="1" showErrorMessage="1" error="Seleccionar alguna de las opciones disponibles" prompt="Seleccionar el tipo de acción" sqref="H96:M96 H98:M98 H100:M100" xr:uid="{00000000-0002-0000-0300-000000000000}"/>
    <dataValidation type="list" allowBlank="1" showInputMessage="1" showErrorMessage="1" errorTitle="EVALUACION DE DESEMPEÑO" error="VALOR INVALIDO !" sqref="M67 M15:M17 M50:M52 M58:M61 M54:M56 M19:M21 M23:M25 M27:M29 M31:M33 M35:M38 M40:M44 M46:M48 M63:M65" xr:uid="{00000000-0002-0000-0300-000001000000}">
      <formula1>VALORES</formula1>
    </dataValidation>
  </dataValidations>
  <printOptions horizontalCentered="1"/>
  <pageMargins left="0.39370078740157483" right="0" top="0.35433070866141736" bottom="0.39370078740157483" header="0.51181102362204722" footer="0.23622047244094491"/>
  <pageSetup scale="45" fitToHeight="0" orientation="portrait" horizontalDpi="300" verticalDpi="300" r:id="rId2"/>
  <headerFooter alignWithMargins="0">
    <oddFooter xml:space="preserve">&amp;LTIPO DE EVALUACIÓN - AUTOEVALUACION - BOZZI BUSTILLO ANTONIO - DIRECTOR CENTRO DE IDIOMAS - VIGENCIA AÑO 2019 - 08/11/2019 - 10:09:37 AM&amp;LPágina &amp;P de &amp;L&amp;C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7650" r:id="rId5" name="Button 2">
              <controlPr defaultSize="0" print="0" autoFill="0" autoPict="0" macro="[2]!SALIDA">
                <anchor>
                  <from>
                    <xdr:col>16</xdr:col>
                    <xdr:colOff>66675</xdr:colOff>
                    <xdr:row>18</xdr:row>
                    <xdr:rowOff>38100</xdr:rowOff>
                  </from>
                  <to>
                    <xdr:col>21</xdr:col>
                    <xdr:colOff>600075</xdr:colOff>
                    <xdr:row>18</xdr:row>
                    <xdr:rowOff>371475</xdr:rowOff>
                  </to>
                </anchor>
              </controlPr>
            </control>
          </mc:Choice>
        </mc:AlternateContent>
        <mc:AlternateContent xmlns:mc="http://schemas.openxmlformats.org/markup-compatibility/2006">
          <mc:Choice Requires="x14">
            <control shapeId="27651" r:id="rId6" name="Button 3">
              <controlPr defaultSize="0" print="0" autoFill="0" autoPict="0" macro="[2]!Módulo1.REPORTE">
                <anchor>
                  <from>
                    <xdr:col>16</xdr:col>
                    <xdr:colOff>38100</xdr:colOff>
                    <xdr:row>14</xdr:row>
                    <xdr:rowOff>200025</xdr:rowOff>
                  </from>
                  <to>
                    <xdr:col>21</xdr:col>
                    <xdr:colOff>561975</xdr:colOff>
                    <xdr:row>15</xdr:row>
                    <xdr:rowOff>0</xdr:rowOff>
                  </to>
                </anchor>
              </controlPr>
            </control>
          </mc:Choice>
        </mc:AlternateContent>
        <mc:AlternateContent xmlns:mc="http://schemas.openxmlformats.org/markup-compatibility/2006">
          <mc:Choice Requires="x14">
            <control shapeId="27653" r:id="rId7" name="Button 5">
              <controlPr defaultSize="0" print="0" autoFill="0" autoPict="0" macro="[2]!GENERAR">
                <anchor>
                  <from>
                    <xdr:col>16</xdr:col>
                    <xdr:colOff>28575</xdr:colOff>
                    <xdr:row>10</xdr:row>
                    <xdr:rowOff>66675</xdr:rowOff>
                  </from>
                  <to>
                    <xdr:col>21</xdr:col>
                    <xdr:colOff>581025</xdr:colOff>
                    <xdr:row>12</xdr:row>
                    <xdr:rowOff>142875</xdr:rowOff>
                  </to>
                </anchor>
              </controlPr>
            </control>
          </mc:Choice>
        </mc:AlternateContent>
        <mc:AlternateContent xmlns:mc="http://schemas.openxmlformats.org/markup-compatibility/2006">
          <mc:Choice Requires="x14">
            <control shapeId="27654" r:id="rId8" name="Button 6">
              <controlPr defaultSize="0" print="0" autoFill="0" autoPict="0" macro="[2]!GUARDAR">
                <anchor>
                  <from>
                    <xdr:col>16</xdr:col>
                    <xdr:colOff>47625</xdr:colOff>
                    <xdr:row>12</xdr:row>
                    <xdr:rowOff>266700</xdr:rowOff>
                  </from>
                  <to>
                    <xdr:col>21</xdr:col>
                    <xdr:colOff>581025</xdr:colOff>
                    <xdr:row>14</xdr:row>
                    <xdr:rowOff>28575</xdr:rowOff>
                  </to>
                </anchor>
              </controlPr>
            </control>
          </mc:Choice>
        </mc:AlternateContent>
        <mc:AlternateContent xmlns:mc="http://schemas.openxmlformats.org/markup-compatibility/2006">
          <mc:Choice Requires="x14">
            <control shapeId="27655" r:id="rId9" name="Button 7">
              <controlPr defaultSize="0" print="0" autoFill="0" autoPict="0" macro="[2]!Hoja10.guardaregP">
                <anchor>
                  <from>
                    <xdr:col>16</xdr:col>
                    <xdr:colOff>47625</xdr:colOff>
                    <xdr:row>15</xdr:row>
                    <xdr:rowOff>161925</xdr:rowOff>
                  </from>
                  <to>
                    <xdr:col>21</xdr:col>
                    <xdr:colOff>581025</xdr:colOff>
                    <xdr:row>15</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'C:\Users\THUMANOS\Desktop\TALENTO HUMANO\EVALUACIONES\EVALAUCION DE DESEMPEÑO\EVALUACION DESEMPEÑO 2020\[FR-088 Formato Instrumento de Evaluación de Desempeño V2020.xlsm]BDATOS'!#REF!</xm:f>
          </x14:formula1>
          <xm:sqref>L7:M7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tint="-0.249977111117893"/>
  </sheetPr>
  <dimension ref="A2:P77"/>
  <sheetViews>
    <sheetView showGridLines="0" tabSelected="1" topLeftCell="A54" zoomScale="87" zoomScaleNormal="87" zoomScaleSheetLayoutView="75" workbookViewId="0">
      <selection activeCell="Q65" sqref="Q65"/>
    </sheetView>
  </sheetViews>
  <sheetFormatPr baseColWidth="10" defaultColWidth="11.42578125" defaultRowHeight="15" x14ac:dyDescent="0.25"/>
  <cols>
    <col min="1" max="2" width="11.42578125" style="50"/>
    <col min="3" max="3" width="17.85546875" style="50" customWidth="1"/>
    <col min="4" max="4" width="15.85546875" style="50" customWidth="1"/>
    <col min="5" max="5" width="25" style="50" customWidth="1"/>
    <col min="6" max="6" width="7" style="50" hidden="1" customWidth="1"/>
    <col min="7" max="7" width="50.140625" style="50" customWidth="1"/>
    <col min="8" max="10" width="11.42578125" style="50"/>
    <col min="11" max="11" width="22.140625" style="51" customWidth="1"/>
    <col min="12" max="16384" width="11.42578125" style="50"/>
  </cols>
  <sheetData>
    <row r="2" spans="1:11" ht="23.25" x14ac:dyDescent="0.35">
      <c r="C2" s="52" t="s">
        <v>382</v>
      </c>
      <c r="D2" s="52"/>
      <c r="E2" s="52"/>
      <c r="F2" s="52"/>
      <c r="G2" s="52"/>
    </row>
    <row r="3" spans="1:11" ht="18.75" x14ac:dyDescent="0.3">
      <c r="C3" s="53" t="s">
        <v>281</v>
      </c>
    </row>
    <row r="4" spans="1:11" ht="18.75" x14ac:dyDescent="0.3">
      <c r="C4" s="53" t="s">
        <v>282</v>
      </c>
    </row>
    <row r="6" spans="1:11" ht="35.25" customHeight="1" x14ac:dyDescent="0.3">
      <c r="A6" s="277" t="s">
        <v>314</v>
      </c>
      <c r="B6" s="278"/>
      <c r="C6" s="278"/>
      <c r="D6" s="278"/>
      <c r="E6" s="278"/>
      <c r="F6" s="63"/>
      <c r="G6" s="277" t="s">
        <v>283</v>
      </c>
      <c r="H6" s="278"/>
      <c r="I6" s="278"/>
      <c r="J6" s="279"/>
      <c r="K6" s="64" t="s">
        <v>284</v>
      </c>
    </row>
    <row r="7" spans="1:11" ht="52.5" customHeight="1" x14ac:dyDescent="0.25">
      <c r="A7" s="303" t="s">
        <v>313</v>
      </c>
      <c r="B7" s="304"/>
      <c r="C7" s="304"/>
      <c r="D7" s="304"/>
      <c r="E7" s="304"/>
      <c r="F7" s="67"/>
      <c r="G7" s="338" t="s">
        <v>285</v>
      </c>
      <c r="H7" s="339"/>
      <c r="I7" s="339"/>
      <c r="J7" s="340"/>
      <c r="K7" s="54"/>
    </row>
    <row r="8" spans="1:11" ht="31.5" customHeight="1" x14ac:dyDescent="0.25">
      <c r="A8" s="224"/>
      <c r="B8" s="225"/>
      <c r="C8" s="225"/>
      <c r="D8" s="225"/>
      <c r="E8" s="225"/>
      <c r="F8" s="69"/>
      <c r="G8" s="341" t="s">
        <v>286</v>
      </c>
      <c r="H8" s="312"/>
      <c r="I8" s="312"/>
      <c r="J8" s="313"/>
      <c r="K8" s="55" t="s">
        <v>287</v>
      </c>
    </row>
    <row r="9" spans="1:11" ht="31.5" customHeight="1" x14ac:dyDescent="0.25">
      <c r="A9" s="287"/>
      <c r="B9" s="225"/>
      <c r="C9" s="225"/>
      <c r="D9" s="225"/>
      <c r="E9" s="225"/>
      <c r="F9" s="69"/>
      <c r="G9" s="341" t="s">
        <v>389</v>
      </c>
      <c r="H9" s="312"/>
      <c r="I9" s="312"/>
      <c r="J9" s="313"/>
      <c r="K9" s="55"/>
    </row>
    <row r="10" spans="1:11" ht="71.25" customHeight="1" x14ac:dyDescent="0.25">
      <c r="A10" s="227"/>
      <c r="B10" s="228"/>
      <c r="C10" s="228"/>
      <c r="D10" s="228"/>
      <c r="E10" s="228"/>
      <c r="F10" s="71"/>
      <c r="G10" s="135" t="s">
        <v>409</v>
      </c>
      <c r="H10" s="133"/>
      <c r="I10" s="133"/>
      <c r="J10" s="134"/>
      <c r="K10" s="56"/>
    </row>
    <row r="11" spans="1:11" ht="15" customHeight="1" x14ac:dyDescent="0.25">
      <c r="A11" s="305" t="s">
        <v>386</v>
      </c>
      <c r="B11" s="306"/>
      <c r="C11" s="306"/>
      <c r="D11" s="306"/>
      <c r="E11" s="306"/>
      <c r="F11" s="66"/>
      <c r="G11" s="103"/>
      <c r="H11" s="104"/>
      <c r="I11" s="104"/>
      <c r="J11" s="105"/>
      <c r="K11" s="54"/>
    </row>
    <row r="12" spans="1:11" ht="51" customHeight="1" x14ac:dyDescent="0.25">
      <c r="A12" s="287"/>
      <c r="B12" s="225"/>
      <c r="C12" s="225"/>
      <c r="D12" s="225"/>
      <c r="E12" s="225"/>
      <c r="F12" s="68"/>
      <c r="G12" s="341" t="s">
        <v>307</v>
      </c>
      <c r="H12" s="312"/>
      <c r="I12" s="312"/>
      <c r="J12" s="313"/>
      <c r="K12" s="55" t="s">
        <v>287</v>
      </c>
    </row>
    <row r="13" spans="1:11" ht="51" customHeight="1" x14ac:dyDescent="0.25">
      <c r="A13" s="287"/>
      <c r="B13" s="225"/>
      <c r="C13" s="225"/>
      <c r="D13" s="225"/>
      <c r="E13" s="225"/>
      <c r="F13" s="68"/>
      <c r="G13" s="341" t="s">
        <v>375</v>
      </c>
      <c r="H13" s="312"/>
      <c r="I13" s="312"/>
      <c r="J13" s="313"/>
      <c r="K13" s="55"/>
    </row>
    <row r="14" spans="1:11" ht="35.25" customHeight="1" x14ac:dyDescent="0.25">
      <c r="A14" s="287"/>
      <c r="B14" s="225"/>
      <c r="C14" s="225"/>
      <c r="D14" s="225"/>
      <c r="E14" s="225"/>
      <c r="F14" s="68"/>
      <c r="G14" s="341" t="s">
        <v>391</v>
      </c>
      <c r="H14" s="312"/>
      <c r="I14" s="312"/>
      <c r="J14" s="313"/>
      <c r="K14" s="55"/>
    </row>
    <row r="15" spans="1:11" ht="35.25" customHeight="1" x14ac:dyDescent="0.25">
      <c r="A15" s="287"/>
      <c r="B15" s="225"/>
      <c r="C15" s="225"/>
      <c r="D15" s="225"/>
      <c r="E15" s="225"/>
      <c r="F15" s="68"/>
      <c r="G15" s="341" t="s">
        <v>392</v>
      </c>
      <c r="H15" s="312"/>
      <c r="I15" s="312"/>
      <c r="J15" s="313"/>
      <c r="K15" s="55"/>
    </row>
    <row r="16" spans="1:11" ht="26.25" customHeight="1" x14ac:dyDescent="0.25">
      <c r="A16" s="288"/>
      <c r="B16" s="289"/>
      <c r="C16" s="289"/>
      <c r="D16" s="289"/>
      <c r="E16" s="289"/>
      <c r="F16" s="70"/>
      <c r="G16" s="128" t="s">
        <v>401</v>
      </c>
      <c r="H16" s="106"/>
      <c r="I16" s="106"/>
      <c r="J16" s="107"/>
      <c r="K16" s="56"/>
    </row>
    <row r="17" spans="1:16" ht="9" customHeight="1" x14ac:dyDescent="0.25">
      <c r="A17" s="320" t="s">
        <v>316</v>
      </c>
      <c r="B17" s="321"/>
      <c r="C17" s="321"/>
      <c r="D17" s="321"/>
      <c r="E17" s="321"/>
      <c r="F17" s="61"/>
      <c r="G17" s="108"/>
      <c r="H17" s="109"/>
      <c r="I17" s="109"/>
      <c r="J17" s="110"/>
      <c r="K17" s="58"/>
    </row>
    <row r="18" spans="1:16" ht="36.75" customHeight="1" x14ac:dyDescent="0.25">
      <c r="A18" s="322"/>
      <c r="B18" s="298"/>
      <c r="C18" s="298"/>
      <c r="D18" s="298"/>
      <c r="E18" s="298"/>
      <c r="F18" s="69"/>
      <c r="G18" s="311" t="s">
        <v>29</v>
      </c>
      <c r="H18" s="312"/>
      <c r="I18" s="312"/>
      <c r="J18" s="313"/>
      <c r="K18" s="59"/>
    </row>
    <row r="19" spans="1:16" ht="37.5" customHeight="1" x14ac:dyDescent="0.25">
      <c r="A19" s="322"/>
      <c r="B19" s="298"/>
      <c r="C19" s="298"/>
      <c r="D19" s="298"/>
      <c r="E19" s="298"/>
      <c r="F19" s="69"/>
      <c r="G19" s="311" t="s">
        <v>30</v>
      </c>
      <c r="H19" s="312"/>
      <c r="I19" s="312"/>
      <c r="J19" s="313"/>
      <c r="K19" s="59" t="s">
        <v>287</v>
      </c>
    </row>
    <row r="20" spans="1:16" ht="33.75" customHeight="1" x14ac:dyDescent="0.25">
      <c r="A20" s="322"/>
      <c r="B20" s="298"/>
      <c r="C20" s="298"/>
      <c r="D20" s="298"/>
      <c r="E20" s="298"/>
      <c r="F20" s="69"/>
      <c r="G20" s="311" t="s">
        <v>289</v>
      </c>
      <c r="H20" s="312"/>
      <c r="I20" s="312"/>
      <c r="J20" s="313"/>
      <c r="K20" s="59"/>
    </row>
    <row r="21" spans="1:16" ht="29.25" customHeight="1" x14ac:dyDescent="0.25">
      <c r="A21" s="322"/>
      <c r="B21" s="298"/>
      <c r="C21" s="298"/>
      <c r="D21" s="298"/>
      <c r="E21" s="298"/>
      <c r="F21" s="69"/>
      <c r="G21" s="311"/>
      <c r="H21" s="312"/>
      <c r="I21" s="312"/>
      <c r="J21" s="313"/>
      <c r="K21" s="60"/>
    </row>
    <row r="22" spans="1:16" ht="40.5" customHeight="1" x14ac:dyDescent="0.25">
      <c r="A22" s="323" t="s">
        <v>317</v>
      </c>
      <c r="B22" s="324"/>
      <c r="C22" s="324"/>
      <c r="D22" s="324"/>
      <c r="E22" s="325"/>
      <c r="F22" s="68"/>
      <c r="G22" s="347" t="s">
        <v>376</v>
      </c>
      <c r="H22" s="348"/>
      <c r="I22" s="348"/>
      <c r="J22" s="349"/>
      <c r="K22" s="101" t="s">
        <v>287</v>
      </c>
    </row>
    <row r="23" spans="1:16" ht="30.95" customHeight="1" x14ac:dyDescent="0.25">
      <c r="A23" s="322"/>
      <c r="B23" s="298"/>
      <c r="C23" s="298"/>
      <c r="D23" s="298"/>
      <c r="E23" s="299"/>
      <c r="F23" s="68"/>
      <c r="G23" s="311" t="s">
        <v>8</v>
      </c>
      <c r="H23" s="312"/>
      <c r="I23" s="312"/>
      <c r="J23" s="313"/>
      <c r="K23" s="55"/>
      <c r="L23" s="130"/>
      <c r="M23" s="131"/>
      <c r="N23" s="130"/>
      <c r="O23" s="130"/>
      <c r="P23" s="130"/>
    </row>
    <row r="24" spans="1:16" ht="36" customHeight="1" x14ac:dyDescent="0.25">
      <c r="A24" s="322"/>
      <c r="B24" s="298"/>
      <c r="C24" s="298"/>
      <c r="D24" s="298"/>
      <c r="E24" s="299"/>
      <c r="F24" s="68"/>
      <c r="G24" s="317" t="s">
        <v>396</v>
      </c>
      <c r="H24" s="318"/>
      <c r="I24" s="318"/>
      <c r="J24" s="319"/>
      <c r="K24" s="55"/>
    </row>
    <row r="25" spans="1:16" ht="31.5" customHeight="1" x14ac:dyDescent="0.25">
      <c r="A25" s="322"/>
      <c r="B25" s="298"/>
      <c r="C25" s="298"/>
      <c r="D25" s="298"/>
      <c r="E25" s="299"/>
      <c r="F25" s="68"/>
      <c r="G25" s="311" t="s">
        <v>399</v>
      </c>
      <c r="H25" s="312"/>
      <c r="I25" s="312"/>
      <c r="J25" s="313"/>
      <c r="K25" s="55"/>
      <c r="M25" s="129"/>
    </row>
    <row r="26" spans="1:16" ht="95.25" customHeight="1" x14ac:dyDescent="0.25">
      <c r="A26" s="300"/>
      <c r="B26" s="301"/>
      <c r="C26" s="301"/>
      <c r="D26" s="301"/>
      <c r="E26" s="302"/>
      <c r="F26" s="68"/>
      <c r="G26" s="326" t="s">
        <v>402</v>
      </c>
      <c r="H26" s="327"/>
      <c r="I26" s="327"/>
      <c r="J26" s="328"/>
      <c r="K26" s="102"/>
    </row>
    <row r="27" spans="1:16" ht="29.25" customHeight="1" x14ac:dyDescent="0.25">
      <c r="A27" s="294" t="s">
        <v>318</v>
      </c>
      <c r="B27" s="295"/>
      <c r="C27" s="295"/>
      <c r="D27" s="295"/>
      <c r="E27" s="296"/>
      <c r="F27" s="68"/>
      <c r="G27" s="338" t="s">
        <v>24</v>
      </c>
      <c r="H27" s="339"/>
      <c r="I27" s="339"/>
      <c r="J27" s="340"/>
      <c r="K27" s="121"/>
    </row>
    <row r="28" spans="1:16" ht="31.5" customHeight="1" x14ac:dyDescent="0.25">
      <c r="A28" s="297"/>
      <c r="B28" s="298"/>
      <c r="C28" s="298"/>
      <c r="D28" s="298"/>
      <c r="E28" s="299"/>
      <c r="F28" s="68"/>
      <c r="G28" s="344" t="s">
        <v>394</v>
      </c>
      <c r="H28" s="345"/>
      <c r="I28" s="345"/>
      <c r="J28" s="346"/>
      <c r="K28" s="55"/>
      <c r="M28" s="116"/>
    </row>
    <row r="29" spans="1:16" ht="45" customHeight="1" x14ac:dyDescent="0.25">
      <c r="A29" s="297"/>
      <c r="B29" s="298"/>
      <c r="C29" s="298"/>
      <c r="D29" s="298"/>
      <c r="E29" s="299"/>
      <c r="F29" s="68"/>
      <c r="G29" s="341" t="s">
        <v>292</v>
      </c>
      <c r="H29" s="312"/>
      <c r="I29" s="312"/>
      <c r="J29" s="313"/>
      <c r="K29" s="122" t="s">
        <v>324</v>
      </c>
    </row>
    <row r="30" spans="1:16" ht="45" customHeight="1" x14ac:dyDescent="0.25">
      <c r="A30" s="297"/>
      <c r="B30" s="298"/>
      <c r="C30" s="298"/>
      <c r="D30" s="298"/>
      <c r="E30" s="299"/>
      <c r="F30" s="68"/>
      <c r="G30" s="126" t="s">
        <v>397</v>
      </c>
      <c r="H30" s="109"/>
      <c r="I30" s="109"/>
      <c r="J30" s="110"/>
      <c r="K30" s="122"/>
    </row>
    <row r="31" spans="1:16" ht="70.5" customHeight="1" x14ac:dyDescent="0.25">
      <c r="A31" s="300"/>
      <c r="B31" s="301"/>
      <c r="C31" s="301"/>
      <c r="D31" s="301"/>
      <c r="E31" s="302"/>
      <c r="F31" s="120"/>
      <c r="G31" s="123" t="s">
        <v>398</v>
      </c>
      <c r="H31" s="124"/>
      <c r="I31" s="124"/>
      <c r="J31" s="125"/>
      <c r="K31" s="102"/>
    </row>
    <row r="32" spans="1:16" ht="26.25" customHeight="1" x14ac:dyDescent="0.25">
      <c r="A32" s="303" t="s">
        <v>319</v>
      </c>
      <c r="B32" s="304"/>
      <c r="C32" s="304"/>
      <c r="D32" s="304"/>
      <c r="E32" s="304"/>
      <c r="F32" s="72"/>
      <c r="G32" s="341" t="s">
        <v>55</v>
      </c>
      <c r="H32" s="312"/>
      <c r="I32" s="312"/>
      <c r="J32" s="313"/>
      <c r="K32" s="58"/>
    </row>
    <row r="33" spans="1:13" ht="15.75" x14ac:dyDescent="0.25">
      <c r="A33" s="224"/>
      <c r="B33" s="225"/>
      <c r="C33" s="225"/>
      <c r="D33" s="225"/>
      <c r="E33" s="225"/>
      <c r="F33" s="73"/>
      <c r="G33" s="311" t="s">
        <v>390</v>
      </c>
      <c r="H33" s="312"/>
      <c r="I33" s="312"/>
      <c r="J33" s="313"/>
      <c r="K33" s="59"/>
    </row>
    <row r="34" spans="1:13" ht="35.25" customHeight="1" x14ac:dyDescent="0.25">
      <c r="A34" s="224"/>
      <c r="B34" s="225"/>
      <c r="C34" s="225"/>
      <c r="D34" s="225"/>
      <c r="E34" s="225"/>
      <c r="F34" s="73"/>
      <c r="G34" s="311" t="s">
        <v>36</v>
      </c>
      <c r="H34" s="312"/>
      <c r="I34" s="312"/>
      <c r="J34" s="313"/>
      <c r="K34" s="59" t="s">
        <v>287</v>
      </c>
      <c r="M34" s="116"/>
    </row>
    <row r="35" spans="1:13" ht="15.75" x14ac:dyDescent="0.25">
      <c r="A35" s="224"/>
      <c r="B35" s="225"/>
      <c r="C35" s="225"/>
      <c r="D35" s="225"/>
      <c r="E35" s="225"/>
      <c r="F35" s="73"/>
      <c r="G35" s="311" t="s">
        <v>377</v>
      </c>
      <c r="H35" s="312"/>
      <c r="I35" s="312"/>
      <c r="J35" s="313"/>
      <c r="K35" s="59"/>
    </row>
    <row r="36" spans="1:13" ht="43.5" customHeight="1" x14ac:dyDescent="0.25">
      <c r="A36" s="227"/>
      <c r="B36" s="228"/>
      <c r="C36" s="228"/>
      <c r="D36" s="228"/>
      <c r="E36" s="228"/>
      <c r="F36" s="74"/>
      <c r="G36" s="311" t="s">
        <v>378</v>
      </c>
      <c r="H36" s="312"/>
      <c r="I36" s="312"/>
      <c r="J36" s="313"/>
      <c r="K36" s="60"/>
    </row>
    <row r="37" spans="1:13" ht="46.5" customHeight="1" x14ac:dyDescent="0.25">
      <c r="A37" s="305" t="s">
        <v>320</v>
      </c>
      <c r="B37" s="306"/>
      <c r="C37" s="306"/>
      <c r="D37" s="306"/>
      <c r="E37" s="307"/>
      <c r="F37" s="67"/>
      <c r="G37" s="308" t="s">
        <v>379</v>
      </c>
      <c r="H37" s="309"/>
      <c r="I37" s="309"/>
      <c r="J37" s="310"/>
      <c r="K37" s="58"/>
    </row>
    <row r="38" spans="1:13" ht="48" customHeight="1" x14ac:dyDescent="0.25">
      <c r="A38" s="287"/>
      <c r="B38" s="225"/>
      <c r="C38" s="225"/>
      <c r="D38" s="225"/>
      <c r="E38" s="226"/>
      <c r="F38" s="69"/>
      <c r="G38" s="311" t="s">
        <v>294</v>
      </c>
      <c r="H38" s="312"/>
      <c r="I38" s="312"/>
      <c r="J38" s="313"/>
      <c r="K38" s="59"/>
    </row>
    <row r="39" spans="1:13" ht="34.5" customHeight="1" x14ac:dyDescent="0.25">
      <c r="A39" s="287"/>
      <c r="B39" s="225"/>
      <c r="C39" s="225"/>
      <c r="D39" s="225"/>
      <c r="E39" s="226"/>
      <c r="F39" s="69"/>
      <c r="G39" s="311" t="s">
        <v>295</v>
      </c>
      <c r="H39" s="312"/>
      <c r="I39" s="312"/>
      <c r="J39" s="313"/>
      <c r="K39" s="59" t="s">
        <v>296</v>
      </c>
    </row>
    <row r="40" spans="1:13" ht="35.25" customHeight="1" x14ac:dyDescent="0.25">
      <c r="A40" s="287"/>
      <c r="B40" s="225"/>
      <c r="C40" s="225"/>
      <c r="D40" s="225"/>
      <c r="E40" s="226"/>
      <c r="F40" s="69"/>
      <c r="G40" s="311" t="s">
        <v>349</v>
      </c>
      <c r="H40" s="312"/>
      <c r="I40" s="312"/>
      <c r="J40" s="313"/>
      <c r="K40" s="59"/>
    </row>
    <row r="41" spans="1:13" ht="13.5" customHeight="1" x14ac:dyDescent="0.25">
      <c r="A41" s="287"/>
      <c r="B41" s="225"/>
      <c r="C41" s="225"/>
      <c r="D41" s="225"/>
      <c r="E41" s="226"/>
      <c r="F41" s="69"/>
      <c r="G41" s="317" t="s">
        <v>395</v>
      </c>
      <c r="H41" s="318"/>
      <c r="I41" s="318"/>
      <c r="J41" s="319"/>
      <c r="K41" s="59"/>
      <c r="L41" s="116"/>
    </row>
    <row r="42" spans="1:13" ht="27.75" customHeight="1" x14ac:dyDescent="0.25">
      <c r="A42" s="288"/>
      <c r="B42" s="289"/>
      <c r="C42" s="289"/>
      <c r="D42" s="289"/>
      <c r="E42" s="290"/>
      <c r="F42" s="71"/>
      <c r="G42" s="111"/>
      <c r="H42" s="111"/>
      <c r="I42" s="111"/>
      <c r="J42" s="111"/>
      <c r="K42" s="60"/>
    </row>
    <row r="43" spans="1:13" ht="22.5" customHeight="1" x14ac:dyDescent="0.25">
      <c r="A43" s="303" t="s">
        <v>321</v>
      </c>
      <c r="B43" s="304"/>
      <c r="C43" s="304"/>
      <c r="D43" s="304"/>
      <c r="E43" s="304"/>
      <c r="F43" s="67"/>
      <c r="G43" s="308" t="s">
        <v>45</v>
      </c>
      <c r="H43" s="309"/>
      <c r="I43" s="309"/>
      <c r="J43" s="310"/>
      <c r="K43" s="58"/>
    </row>
    <row r="44" spans="1:13" ht="33.75" customHeight="1" x14ac:dyDescent="0.25">
      <c r="A44" s="224"/>
      <c r="B44" s="225"/>
      <c r="C44" s="225"/>
      <c r="D44" s="225"/>
      <c r="E44" s="225"/>
      <c r="F44" s="69"/>
      <c r="G44" s="311" t="s">
        <v>46</v>
      </c>
      <c r="H44" s="312"/>
      <c r="I44" s="312"/>
      <c r="J44" s="313"/>
      <c r="K44" s="59" t="s">
        <v>287</v>
      </c>
    </row>
    <row r="45" spans="1:13" ht="32.25" customHeight="1" x14ac:dyDescent="0.25">
      <c r="A45" s="224"/>
      <c r="B45" s="225"/>
      <c r="C45" s="225"/>
      <c r="D45" s="225"/>
      <c r="E45" s="225"/>
      <c r="F45" s="69"/>
      <c r="G45" s="311" t="s">
        <v>384</v>
      </c>
      <c r="H45" s="312"/>
      <c r="I45" s="312"/>
      <c r="J45" s="313"/>
      <c r="K45" s="59"/>
    </row>
    <row r="46" spans="1:13" ht="32.25" customHeight="1" x14ac:dyDescent="0.25">
      <c r="A46" s="287"/>
      <c r="B46" s="225"/>
      <c r="C46" s="225"/>
      <c r="D46" s="225"/>
      <c r="E46" s="225"/>
      <c r="F46" s="69"/>
      <c r="G46" s="132" t="s">
        <v>408</v>
      </c>
      <c r="H46" s="109"/>
      <c r="I46" s="109"/>
      <c r="J46" s="110"/>
      <c r="K46" s="59"/>
    </row>
    <row r="47" spans="1:13" ht="15.75" x14ac:dyDescent="0.25">
      <c r="A47" s="227"/>
      <c r="B47" s="228"/>
      <c r="C47" s="228"/>
      <c r="D47" s="228"/>
      <c r="E47" s="228"/>
      <c r="F47" s="71"/>
      <c r="G47" s="329"/>
      <c r="H47" s="330"/>
      <c r="I47" s="330"/>
      <c r="J47" s="331"/>
      <c r="K47" s="60"/>
    </row>
    <row r="48" spans="1:13" ht="47.25" customHeight="1" x14ac:dyDescent="0.25">
      <c r="A48" s="303" t="s">
        <v>322</v>
      </c>
      <c r="B48" s="304"/>
      <c r="C48" s="304"/>
      <c r="D48" s="304"/>
      <c r="E48" s="304"/>
      <c r="F48" s="67"/>
      <c r="G48" s="308" t="s">
        <v>306</v>
      </c>
      <c r="H48" s="309"/>
      <c r="I48" s="309"/>
      <c r="J48" s="310"/>
      <c r="K48" s="58"/>
    </row>
    <row r="49" spans="1:13" ht="30" customHeight="1" x14ac:dyDescent="0.25">
      <c r="A49" s="224"/>
      <c r="B49" s="225"/>
      <c r="C49" s="225"/>
      <c r="D49" s="225"/>
      <c r="E49" s="225"/>
      <c r="F49" s="69"/>
      <c r="G49" s="332" t="s">
        <v>400</v>
      </c>
      <c r="H49" s="333"/>
      <c r="I49" s="333"/>
      <c r="J49" s="334"/>
      <c r="K49" s="59" t="s">
        <v>287</v>
      </c>
    </row>
    <row r="50" spans="1:13" ht="27.75" customHeight="1" x14ac:dyDescent="0.25">
      <c r="A50" s="224"/>
      <c r="B50" s="225"/>
      <c r="C50" s="225"/>
      <c r="D50" s="225"/>
      <c r="E50" s="225"/>
      <c r="F50" s="69"/>
      <c r="G50" s="311" t="s">
        <v>298</v>
      </c>
      <c r="H50" s="312"/>
      <c r="I50" s="312"/>
      <c r="J50" s="313"/>
      <c r="K50" s="59"/>
    </row>
    <row r="51" spans="1:13" ht="27.75" customHeight="1" x14ac:dyDescent="0.25">
      <c r="A51" s="287"/>
      <c r="B51" s="225"/>
      <c r="C51" s="225"/>
      <c r="D51" s="225"/>
      <c r="E51" s="225"/>
      <c r="F51" s="69"/>
      <c r="G51" s="311" t="s">
        <v>374</v>
      </c>
      <c r="H51" s="312"/>
      <c r="I51" s="312"/>
      <c r="J51" s="313"/>
      <c r="K51" s="127"/>
    </row>
    <row r="52" spans="1:13" ht="33.950000000000003" customHeight="1" x14ac:dyDescent="0.25">
      <c r="A52" s="227"/>
      <c r="B52" s="228"/>
      <c r="C52" s="228"/>
      <c r="D52" s="228"/>
      <c r="E52" s="228"/>
      <c r="F52" s="69"/>
      <c r="G52" s="317" t="s">
        <v>403</v>
      </c>
      <c r="H52" s="318"/>
      <c r="I52" s="318"/>
      <c r="J52" s="319"/>
      <c r="K52" s="59"/>
    </row>
    <row r="53" spans="1:13" ht="15.75" x14ac:dyDescent="0.25">
      <c r="A53" s="303" t="s">
        <v>323</v>
      </c>
      <c r="B53" s="304"/>
      <c r="C53" s="304"/>
      <c r="D53" s="304"/>
      <c r="E53" s="304"/>
      <c r="F53" s="67"/>
      <c r="G53" s="308" t="s">
        <v>305</v>
      </c>
      <c r="H53" s="309"/>
      <c r="I53" s="309"/>
      <c r="J53" s="310"/>
      <c r="K53" s="58"/>
    </row>
    <row r="54" spans="1:13" ht="39.75" customHeight="1" x14ac:dyDescent="0.25">
      <c r="A54" s="224"/>
      <c r="B54" s="225"/>
      <c r="C54" s="225"/>
      <c r="D54" s="225"/>
      <c r="E54" s="225"/>
      <c r="F54" s="69"/>
      <c r="G54" s="311" t="s">
        <v>299</v>
      </c>
      <c r="H54" s="312"/>
      <c r="I54" s="312"/>
      <c r="J54" s="313"/>
      <c r="K54" s="59" t="s">
        <v>287</v>
      </c>
    </row>
    <row r="55" spans="1:13" ht="45.75" customHeight="1" x14ac:dyDescent="0.25">
      <c r="A55" s="224"/>
      <c r="B55" s="225"/>
      <c r="C55" s="225"/>
      <c r="D55" s="225"/>
      <c r="E55" s="225"/>
      <c r="F55" s="69"/>
      <c r="G55" s="311" t="s">
        <v>407</v>
      </c>
      <c r="H55" s="312"/>
      <c r="I55" s="312"/>
      <c r="J55" s="313"/>
      <c r="K55" s="59"/>
    </row>
    <row r="56" spans="1:13" ht="58.5" customHeight="1" x14ac:dyDescent="0.25">
      <c r="A56" s="227"/>
      <c r="B56" s="228"/>
      <c r="C56" s="228"/>
      <c r="D56" s="228"/>
      <c r="E56" s="228"/>
      <c r="F56" s="71"/>
      <c r="G56" s="314"/>
      <c r="H56" s="312"/>
      <c r="I56" s="312"/>
      <c r="J56" s="313"/>
      <c r="K56" s="60"/>
    </row>
    <row r="57" spans="1:13" ht="15.75" customHeight="1" x14ac:dyDescent="0.25">
      <c r="A57" s="221" t="s">
        <v>383</v>
      </c>
      <c r="B57" s="222"/>
      <c r="C57" s="222"/>
      <c r="D57" s="222"/>
      <c r="E57" s="222"/>
      <c r="F57" s="61"/>
      <c r="G57" s="112"/>
      <c r="H57" s="113"/>
      <c r="I57" s="113"/>
      <c r="J57" s="114"/>
      <c r="K57" s="280" t="s">
        <v>301</v>
      </c>
    </row>
    <row r="58" spans="1:13" ht="30" customHeight="1" x14ac:dyDescent="0.25">
      <c r="A58" s="224"/>
      <c r="B58" s="225"/>
      <c r="C58" s="225"/>
      <c r="D58" s="225"/>
      <c r="E58" s="225"/>
      <c r="F58" s="73"/>
      <c r="G58" s="311" t="s">
        <v>405</v>
      </c>
      <c r="H58" s="312"/>
      <c r="I58" s="312"/>
      <c r="J58" s="313"/>
      <c r="K58" s="281"/>
    </row>
    <row r="59" spans="1:13" ht="15.75" customHeight="1" x14ac:dyDescent="0.25">
      <c r="A59" s="224"/>
      <c r="B59" s="225"/>
      <c r="C59" s="225"/>
      <c r="D59" s="225"/>
      <c r="E59" s="225"/>
      <c r="F59" s="73"/>
      <c r="G59" s="311" t="s">
        <v>302</v>
      </c>
      <c r="H59" s="312"/>
      <c r="I59" s="312"/>
      <c r="J59" s="313"/>
      <c r="K59" s="281"/>
    </row>
    <row r="60" spans="1:13" ht="15.75" customHeight="1" x14ac:dyDescent="0.25">
      <c r="A60" s="224"/>
      <c r="B60" s="225"/>
      <c r="C60" s="225"/>
      <c r="D60" s="225"/>
      <c r="E60" s="225"/>
      <c r="F60" s="73"/>
      <c r="G60" s="311" t="s">
        <v>404</v>
      </c>
      <c r="H60" s="312"/>
      <c r="I60" s="312"/>
      <c r="J60" s="313"/>
      <c r="K60" s="281"/>
    </row>
    <row r="61" spans="1:13" ht="15.75" customHeight="1" x14ac:dyDescent="0.25">
      <c r="A61" s="224"/>
      <c r="B61" s="225"/>
      <c r="C61" s="225"/>
      <c r="D61" s="225"/>
      <c r="E61" s="225"/>
      <c r="F61" s="73"/>
      <c r="G61" s="311" t="s">
        <v>406</v>
      </c>
      <c r="H61" s="312"/>
      <c r="I61" s="312"/>
      <c r="J61" s="313"/>
      <c r="K61" s="281"/>
      <c r="L61" s="62"/>
      <c r="M61" s="62"/>
    </row>
    <row r="62" spans="1:13" ht="15.75" customHeight="1" x14ac:dyDescent="0.25">
      <c r="A62" s="288"/>
      <c r="B62" s="289"/>
      <c r="C62" s="289"/>
      <c r="D62" s="289"/>
      <c r="E62" s="289"/>
      <c r="F62" s="74"/>
      <c r="G62" s="335" t="s">
        <v>303</v>
      </c>
      <c r="H62" s="336"/>
      <c r="I62" s="336"/>
      <c r="J62" s="337"/>
      <c r="K62" s="100" t="s">
        <v>304</v>
      </c>
    </row>
    <row r="63" spans="1:13" ht="34.5" customHeight="1" x14ac:dyDescent="0.25">
      <c r="A63" s="284" t="s">
        <v>309</v>
      </c>
      <c r="B63" s="285"/>
      <c r="C63" s="285"/>
      <c r="D63" s="285"/>
      <c r="E63" s="286"/>
      <c r="F63" s="57"/>
      <c r="G63" s="315" t="s">
        <v>310</v>
      </c>
      <c r="H63" s="315"/>
      <c r="I63" s="315"/>
      <c r="J63" s="316"/>
      <c r="K63" s="291" t="s">
        <v>301</v>
      </c>
    </row>
    <row r="64" spans="1:13" ht="29.25" customHeight="1" x14ac:dyDescent="0.25">
      <c r="A64" s="287"/>
      <c r="B64" s="225"/>
      <c r="C64" s="225"/>
      <c r="D64" s="225"/>
      <c r="E64" s="226"/>
      <c r="G64" s="315" t="s">
        <v>311</v>
      </c>
      <c r="H64" s="315"/>
      <c r="I64" s="315"/>
      <c r="J64" s="316"/>
      <c r="K64" s="292"/>
    </row>
    <row r="65" spans="1:11" ht="27" customHeight="1" x14ac:dyDescent="0.25">
      <c r="A65" s="287"/>
      <c r="B65" s="225"/>
      <c r="C65" s="225"/>
      <c r="D65" s="225"/>
      <c r="E65" s="226"/>
      <c r="F65" s="65"/>
      <c r="G65" s="315" t="s">
        <v>312</v>
      </c>
      <c r="H65" s="315"/>
      <c r="I65" s="315"/>
      <c r="J65" s="316"/>
      <c r="K65" s="292"/>
    </row>
    <row r="66" spans="1:11" ht="32.25" customHeight="1" x14ac:dyDescent="0.25">
      <c r="A66" s="287"/>
      <c r="B66" s="225"/>
      <c r="C66" s="225"/>
      <c r="D66" s="225"/>
      <c r="E66" s="226"/>
      <c r="G66" s="342" t="s">
        <v>380</v>
      </c>
      <c r="H66" s="342"/>
      <c r="I66" s="342"/>
      <c r="J66" s="343"/>
      <c r="K66" s="292"/>
    </row>
    <row r="67" spans="1:11" ht="41.25" customHeight="1" x14ac:dyDescent="0.25">
      <c r="A67" s="288"/>
      <c r="B67" s="289"/>
      <c r="C67" s="289"/>
      <c r="D67" s="289"/>
      <c r="E67" s="290"/>
      <c r="G67" s="282" t="s">
        <v>381</v>
      </c>
      <c r="H67" s="283"/>
      <c r="I67" s="283"/>
      <c r="J67" s="283"/>
      <c r="K67" s="293"/>
    </row>
    <row r="68" spans="1:11" ht="15.75" customHeight="1" x14ac:dyDescent="0.25">
      <c r="A68" s="351" t="s">
        <v>385</v>
      </c>
      <c r="B68" s="352"/>
      <c r="C68" s="352"/>
      <c r="D68" s="352"/>
      <c r="E68" s="353"/>
      <c r="F68" s="117"/>
      <c r="G68" s="364" t="s">
        <v>387</v>
      </c>
      <c r="H68" s="365"/>
      <c r="I68" s="365"/>
      <c r="J68" s="366"/>
      <c r="K68" s="350" t="s">
        <v>287</v>
      </c>
    </row>
    <row r="69" spans="1:11" ht="32.25" customHeight="1" x14ac:dyDescent="0.25">
      <c r="A69" s="354"/>
      <c r="B69" s="355"/>
      <c r="C69" s="355"/>
      <c r="D69" s="355"/>
      <c r="E69" s="356"/>
      <c r="F69" s="118"/>
      <c r="G69" s="317" t="s">
        <v>388</v>
      </c>
      <c r="H69" s="318"/>
      <c r="I69" s="318"/>
      <c r="J69" s="319"/>
      <c r="K69" s="292"/>
    </row>
    <row r="70" spans="1:11" x14ac:dyDescent="0.25">
      <c r="A70" s="354"/>
      <c r="B70" s="355"/>
      <c r="C70" s="355"/>
      <c r="D70" s="355"/>
      <c r="E70" s="356"/>
      <c r="F70" s="119"/>
      <c r="G70" s="118"/>
      <c r="H70" s="118"/>
      <c r="I70" s="118"/>
      <c r="J70" s="118"/>
      <c r="K70" s="292"/>
    </row>
    <row r="71" spans="1:11" x14ac:dyDescent="0.25">
      <c r="A71" s="354"/>
      <c r="B71" s="355"/>
      <c r="C71" s="355"/>
      <c r="D71" s="355"/>
      <c r="E71" s="356"/>
      <c r="F71" s="118"/>
      <c r="G71" s="360"/>
      <c r="H71" s="360"/>
      <c r="I71" s="360"/>
      <c r="J71" s="361"/>
      <c r="K71" s="292"/>
    </row>
    <row r="72" spans="1:11" x14ac:dyDescent="0.25">
      <c r="A72" s="357"/>
      <c r="B72" s="358"/>
      <c r="C72" s="358"/>
      <c r="D72" s="358"/>
      <c r="E72" s="359"/>
      <c r="F72" s="118"/>
      <c r="G72" s="362"/>
      <c r="H72" s="363"/>
      <c r="I72" s="363"/>
      <c r="J72" s="363"/>
      <c r="K72" s="293"/>
    </row>
    <row r="73" spans="1:11" x14ac:dyDescent="0.25">
      <c r="A73" s="115" t="s">
        <v>393</v>
      </c>
      <c r="C73" s="50" t="s">
        <v>373</v>
      </c>
      <c r="K73" s="350" t="s">
        <v>287</v>
      </c>
    </row>
    <row r="74" spans="1:11" x14ac:dyDescent="0.25">
      <c r="K74" s="292"/>
    </row>
    <row r="75" spans="1:11" x14ac:dyDescent="0.25">
      <c r="K75" s="292"/>
    </row>
    <row r="76" spans="1:11" x14ac:dyDescent="0.25">
      <c r="K76" s="292"/>
    </row>
    <row r="77" spans="1:11" x14ac:dyDescent="0.25">
      <c r="K77" s="293"/>
    </row>
  </sheetData>
  <mergeCells count="75">
    <mergeCell ref="G14:J14"/>
    <mergeCell ref="K73:K77"/>
    <mergeCell ref="G51:J51"/>
    <mergeCell ref="A68:E72"/>
    <mergeCell ref="K68:K72"/>
    <mergeCell ref="G71:J71"/>
    <mergeCell ref="G72:J72"/>
    <mergeCell ref="G69:J69"/>
    <mergeCell ref="G68:J68"/>
    <mergeCell ref="G15:J15"/>
    <mergeCell ref="G34:J34"/>
    <mergeCell ref="G35:J35"/>
    <mergeCell ref="G36:J36"/>
    <mergeCell ref="G37:J37"/>
    <mergeCell ref="G38:J38"/>
    <mergeCell ref="G39:J39"/>
    <mergeCell ref="G66:J66"/>
    <mergeCell ref="G27:J27"/>
    <mergeCell ref="G29:J29"/>
    <mergeCell ref="G28:J28"/>
    <mergeCell ref="G18:J18"/>
    <mergeCell ref="G19:J19"/>
    <mergeCell ref="G20:J20"/>
    <mergeCell ref="G21:J21"/>
    <mergeCell ref="G22:J22"/>
    <mergeCell ref="G23:J23"/>
    <mergeCell ref="G24:J24"/>
    <mergeCell ref="G25:J25"/>
    <mergeCell ref="G41:J41"/>
    <mergeCell ref="G32:J32"/>
    <mergeCell ref="G33:J33"/>
    <mergeCell ref="G65:J65"/>
    <mergeCell ref="G7:J7"/>
    <mergeCell ref="G8:J8"/>
    <mergeCell ref="G9:J9"/>
    <mergeCell ref="G12:J12"/>
    <mergeCell ref="G13:J13"/>
    <mergeCell ref="A53:E56"/>
    <mergeCell ref="A57:E62"/>
    <mergeCell ref="G62:J62"/>
    <mergeCell ref="G63:J63"/>
    <mergeCell ref="G61:J61"/>
    <mergeCell ref="G60:J60"/>
    <mergeCell ref="G64:J64"/>
    <mergeCell ref="G52:J52"/>
    <mergeCell ref="A7:E10"/>
    <mergeCell ref="A6:E6"/>
    <mergeCell ref="A11:E16"/>
    <mergeCell ref="A17:E21"/>
    <mergeCell ref="A22:E26"/>
    <mergeCell ref="G40:J40"/>
    <mergeCell ref="G26:J26"/>
    <mergeCell ref="G43:J43"/>
    <mergeCell ref="G44:J44"/>
    <mergeCell ref="G45:J45"/>
    <mergeCell ref="G47:J47"/>
    <mergeCell ref="G48:J48"/>
    <mergeCell ref="G49:J49"/>
    <mergeCell ref="G50:J50"/>
    <mergeCell ref="G6:J6"/>
    <mergeCell ref="K57:K61"/>
    <mergeCell ref="G67:J67"/>
    <mergeCell ref="A63:E67"/>
    <mergeCell ref="K63:K67"/>
    <mergeCell ref="A27:E31"/>
    <mergeCell ref="A32:E36"/>
    <mergeCell ref="A37:E42"/>
    <mergeCell ref="A43:E47"/>
    <mergeCell ref="A48:E52"/>
    <mergeCell ref="G53:J53"/>
    <mergeCell ref="G54:J54"/>
    <mergeCell ref="G55:J55"/>
    <mergeCell ref="G56:J56"/>
    <mergeCell ref="G58:J58"/>
    <mergeCell ref="G59:J59"/>
  </mergeCells>
  <printOptions horizontalCentered="1"/>
  <pageMargins left="0.70866141732283472" right="0.70866141732283472" top="0.35433070866141736" bottom="0.55118110236220474" header="0.31496062992125984" footer="0.31496062992125984"/>
  <pageSetup paperSize="5" orientation="landscape" r:id="rId1"/>
  <headerFooter>
    <oddFooter>&amp;LFORMATO - DIRECTORES - JEFES - CERVANTES DIAZ SHIRLEY</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15B87-7AC6-4FD1-A36E-486D3B9B1C6D}">
  <sheetPr>
    <tabColor theme="8" tint="0.59999389629810485"/>
  </sheetPr>
  <dimension ref="A2:P76"/>
  <sheetViews>
    <sheetView showGridLines="0" zoomScale="87" zoomScaleNormal="87" zoomScaleSheetLayoutView="75" workbookViewId="0">
      <selection activeCell="M14" sqref="M14"/>
    </sheetView>
  </sheetViews>
  <sheetFormatPr baseColWidth="10" defaultColWidth="11.42578125" defaultRowHeight="15" x14ac:dyDescent="0.25"/>
  <cols>
    <col min="1" max="2" width="11.42578125" style="50"/>
    <col min="3" max="3" width="17.85546875" style="50" customWidth="1"/>
    <col min="4" max="4" width="15.85546875" style="50" customWidth="1"/>
    <col min="5" max="5" width="25" style="50" customWidth="1"/>
    <col min="6" max="6" width="7" style="50" hidden="1" customWidth="1"/>
    <col min="7" max="7" width="50.140625" style="50" customWidth="1"/>
    <col min="8" max="10" width="11.42578125" style="50"/>
    <col min="11" max="11" width="22.140625" style="51" customWidth="1"/>
    <col min="12" max="16384" width="11.42578125" style="50"/>
  </cols>
  <sheetData>
    <row r="2" spans="1:11" ht="23.25" x14ac:dyDescent="0.35">
      <c r="C2" s="52" t="s">
        <v>382</v>
      </c>
      <c r="D2" s="52"/>
      <c r="E2" s="52"/>
      <c r="F2" s="52"/>
      <c r="G2" s="52"/>
    </row>
    <row r="3" spans="1:11" ht="18.75" x14ac:dyDescent="0.3">
      <c r="C3" s="53" t="s">
        <v>281</v>
      </c>
    </row>
    <row r="4" spans="1:11" ht="18.75" x14ac:dyDescent="0.3">
      <c r="C4" s="53" t="s">
        <v>282</v>
      </c>
    </row>
    <row r="6" spans="1:11" ht="35.25" customHeight="1" x14ac:dyDescent="0.3">
      <c r="A6" s="277" t="s">
        <v>314</v>
      </c>
      <c r="B6" s="278"/>
      <c r="C6" s="278"/>
      <c r="D6" s="278"/>
      <c r="E6" s="278"/>
      <c r="F6" s="63"/>
      <c r="G6" s="277" t="s">
        <v>283</v>
      </c>
      <c r="H6" s="278"/>
      <c r="I6" s="278"/>
      <c r="J6" s="279"/>
      <c r="K6" s="64" t="s">
        <v>284</v>
      </c>
    </row>
    <row r="7" spans="1:11" ht="52.5" customHeight="1" x14ac:dyDescent="0.25">
      <c r="A7" s="303" t="s">
        <v>313</v>
      </c>
      <c r="B7" s="304"/>
      <c r="C7" s="304"/>
      <c r="D7" s="304"/>
      <c r="E7" s="304"/>
      <c r="F7" s="67"/>
      <c r="G7" s="338" t="s">
        <v>285</v>
      </c>
      <c r="H7" s="339"/>
      <c r="I7" s="339"/>
      <c r="J7" s="340"/>
      <c r="K7" s="54"/>
    </row>
    <row r="8" spans="1:11" ht="31.5" customHeight="1" x14ac:dyDescent="0.25">
      <c r="A8" s="224"/>
      <c r="B8" s="225"/>
      <c r="C8" s="225"/>
      <c r="D8" s="225"/>
      <c r="E8" s="225"/>
      <c r="F8" s="69"/>
      <c r="G8" s="341" t="s">
        <v>286</v>
      </c>
      <c r="H8" s="312"/>
      <c r="I8" s="312"/>
      <c r="J8" s="313"/>
      <c r="K8" s="55" t="s">
        <v>287</v>
      </c>
    </row>
    <row r="9" spans="1:11" ht="31.5" customHeight="1" x14ac:dyDescent="0.25">
      <c r="A9" s="287"/>
      <c r="B9" s="225"/>
      <c r="C9" s="225"/>
      <c r="D9" s="225"/>
      <c r="E9" s="225"/>
      <c r="F9" s="69"/>
      <c r="G9" s="341" t="s">
        <v>389</v>
      </c>
      <c r="H9" s="312"/>
      <c r="I9" s="312"/>
      <c r="J9" s="313"/>
      <c r="K9" s="55"/>
    </row>
    <row r="10" spans="1:11" ht="71.25" customHeight="1" x14ac:dyDescent="0.25">
      <c r="A10" s="227"/>
      <c r="B10" s="228"/>
      <c r="C10" s="228"/>
      <c r="D10" s="228"/>
      <c r="E10" s="228"/>
      <c r="F10" s="71"/>
      <c r="G10" s="135" t="s">
        <v>409</v>
      </c>
      <c r="H10" s="133"/>
      <c r="I10" s="133"/>
      <c r="J10" s="134"/>
      <c r="K10" s="56"/>
    </row>
    <row r="11" spans="1:11" ht="15" customHeight="1" x14ac:dyDescent="0.25">
      <c r="A11" s="305" t="s">
        <v>386</v>
      </c>
      <c r="B11" s="306"/>
      <c r="C11" s="306"/>
      <c r="D11" s="306"/>
      <c r="E11" s="306"/>
      <c r="F11" s="66"/>
      <c r="G11" s="103"/>
      <c r="H11" s="104"/>
      <c r="I11" s="104"/>
      <c r="J11" s="105"/>
      <c r="K11" s="54"/>
    </row>
    <row r="12" spans="1:11" ht="51" customHeight="1" x14ac:dyDescent="0.25">
      <c r="A12" s="287"/>
      <c r="B12" s="225"/>
      <c r="C12" s="225"/>
      <c r="D12" s="225"/>
      <c r="E12" s="225"/>
      <c r="F12" s="68"/>
      <c r="G12" s="341" t="s">
        <v>307</v>
      </c>
      <c r="H12" s="312"/>
      <c r="I12" s="312"/>
      <c r="J12" s="313"/>
      <c r="K12" s="55" t="s">
        <v>287</v>
      </c>
    </row>
    <row r="13" spans="1:11" ht="51" customHeight="1" x14ac:dyDescent="0.25">
      <c r="A13" s="287"/>
      <c r="B13" s="225"/>
      <c r="C13" s="225"/>
      <c r="D13" s="225"/>
      <c r="E13" s="225"/>
      <c r="F13" s="68"/>
      <c r="G13" s="341" t="s">
        <v>375</v>
      </c>
      <c r="H13" s="312"/>
      <c r="I13" s="312"/>
      <c r="J13" s="313"/>
      <c r="K13" s="55"/>
    </row>
    <row r="14" spans="1:11" ht="35.25" customHeight="1" x14ac:dyDescent="0.25">
      <c r="A14" s="287"/>
      <c r="B14" s="225"/>
      <c r="C14" s="225"/>
      <c r="D14" s="225"/>
      <c r="E14" s="225"/>
      <c r="F14" s="68"/>
      <c r="G14" s="341" t="s">
        <v>391</v>
      </c>
      <c r="H14" s="312"/>
      <c r="I14" s="312"/>
      <c r="J14" s="313"/>
      <c r="K14" s="55"/>
    </row>
    <row r="15" spans="1:11" ht="35.25" customHeight="1" x14ac:dyDescent="0.25">
      <c r="A15" s="287"/>
      <c r="B15" s="225"/>
      <c r="C15" s="225"/>
      <c r="D15" s="225"/>
      <c r="E15" s="225"/>
      <c r="F15" s="68"/>
      <c r="G15" s="341" t="s">
        <v>392</v>
      </c>
      <c r="H15" s="312"/>
      <c r="I15" s="312"/>
      <c r="J15" s="313"/>
      <c r="K15" s="55"/>
    </row>
    <row r="16" spans="1:11" ht="26.25" customHeight="1" x14ac:dyDescent="0.25">
      <c r="A16" s="288"/>
      <c r="B16" s="289"/>
      <c r="C16" s="289"/>
      <c r="D16" s="289"/>
      <c r="E16" s="289"/>
      <c r="F16" s="70"/>
      <c r="G16" s="128" t="s">
        <v>401</v>
      </c>
      <c r="H16" s="106"/>
      <c r="I16" s="106"/>
      <c r="J16" s="107"/>
      <c r="K16" s="56"/>
    </row>
    <row r="17" spans="1:16" ht="9" customHeight="1" x14ac:dyDescent="0.25">
      <c r="A17" s="320" t="s">
        <v>316</v>
      </c>
      <c r="B17" s="321"/>
      <c r="C17" s="321"/>
      <c r="D17" s="321"/>
      <c r="E17" s="321"/>
      <c r="F17" s="61"/>
      <c r="G17" s="108"/>
      <c r="H17" s="109"/>
      <c r="I17" s="109"/>
      <c r="J17" s="110"/>
      <c r="K17" s="58"/>
    </row>
    <row r="18" spans="1:16" ht="36.75" customHeight="1" x14ac:dyDescent="0.25">
      <c r="A18" s="322"/>
      <c r="B18" s="298"/>
      <c r="C18" s="298"/>
      <c r="D18" s="298"/>
      <c r="E18" s="298"/>
      <c r="F18" s="69"/>
      <c r="G18" s="311" t="s">
        <v>29</v>
      </c>
      <c r="H18" s="312"/>
      <c r="I18" s="312"/>
      <c r="J18" s="313"/>
      <c r="K18" s="59"/>
    </row>
    <row r="19" spans="1:16" ht="37.5" customHeight="1" x14ac:dyDescent="0.25">
      <c r="A19" s="322"/>
      <c r="B19" s="298"/>
      <c r="C19" s="298"/>
      <c r="D19" s="298"/>
      <c r="E19" s="298"/>
      <c r="F19" s="69"/>
      <c r="G19" s="311" t="s">
        <v>30</v>
      </c>
      <c r="H19" s="312"/>
      <c r="I19" s="312"/>
      <c r="J19" s="313"/>
      <c r="K19" s="59" t="s">
        <v>287</v>
      </c>
    </row>
    <row r="20" spans="1:16" ht="33.75" customHeight="1" x14ac:dyDescent="0.25">
      <c r="A20" s="322"/>
      <c r="B20" s="298"/>
      <c r="C20" s="298"/>
      <c r="D20" s="298"/>
      <c r="E20" s="298"/>
      <c r="F20" s="69"/>
      <c r="G20" s="311" t="s">
        <v>289</v>
      </c>
      <c r="H20" s="312"/>
      <c r="I20" s="312"/>
      <c r="J20" s="313"/>
      <c r="K20" s="59"/>
    </row>
    <row r="21" spans="1:16" ht="29.25" customHeight="1" x14ac:dyDescent="0.25">
      <c r="A21" s="322"/>
      <c r="B21" s="298"/>
      <c r="C21" s="298"/>
      <c r="D21" s="298"/>
      <c r="E21" s="298"/>
      <c r="F21" s="69"/>
      <c r="G21" s="311"/>
      <c r="H21" s="312"/>
      <c r="I21" s="312"/>
      <c r="J21" s="313"/>
      <c r="K21" s="60"/>
    </row>
    <row r="22" spans="1:16" ht="40.5" customHeight="1" x14ac:dyDescent="0.25">
      <c r="A22" s="323" t="s">
        <v>317</v>
      </c>
      <c r="B22" s="324"/>
      <c r="C22" s="324"/>
      <c r="D22" s="324"/>
      <c r="E22" s="325"/>
      <c r="F22" s="68"/>
      <c r="G22" s="347" t="s">
        <v>376</v>
      </c>
      <c r="H22" s="348"/>
      <c r="I22" s="348"/>
      <c r="J22" s="349"/>
      <c r="K22" s="101" t="s">
        <v>287</v>
      </c>
    </row>
    <row r="23" spans="1:16" ht="30.95" customHeight="1" x14ac:dyDescent="0.25">
      <c r="A23" s="322"/>
      <c r="B23" s="298"/>
      <c r="C23" s="298"/>
      <c r="D23" s="298"/>
      <c r="E23" s="299"/>
      <c r="F23" s="68"/>
      <c r="G23" s="311" t="s">
        <v>8</v>
      </c>
      <c r="H23" s="312"/>
      <c r="I23" s="312"/>
      <c r="J23" s="313"/>
      <c r="K23" s="55"/>
      <c r="L23" s="130"/>
      <c r="M23" s="131"/>
      <c r="N23" s="130"/>
      <c r="O23" s="130"/>
      <c r="P23" s="130"/>
    </row>
    <row r="24" spans="1:16" ht="36" customHeight="1" x14ac:dyDescent="0.25">
      <c r="A24" s="322"/>
      <c r="B24" s="298"/>
      <c r="C24" s="298"/>
      <c r="D24" s="298"/>
      <c r="E24" s="299"/>
      <c r="F24" s="68"/>
      <c r="G24" s="317" t="s">
        <v>396</v>
      </c>
      <c r="H24" s="318"/>
      <c r="I24" s="318"/>
      <c r="J24" s="319"/>
      <c r="K24" s="55"/>
    </row>
    <row r="25" spans="1:16" ht="31.5" customHeight="1" x14ac:dyDescent="0.25">
      <c r="A25" s="322"/>
      <c r="B25" s="298"/>
      <c r="C25" s="298"/>
      <c r="D25" s="298"/>
      <c r="E25" s="299"/>
      <c r="F25" s="68"/>
      <c r="G25" s="311" t="s">
        <v>399</v>
      </c>
      <c r="H25" s="312"/>
      <c r="I25" s="312"/>
      <c r="J25" s="313"/>
      <c r="K25" s="55"/>
      <c r="M25" s="129"/>
    </row>
    <row r="26" spans="1:16" ht="95.25" customHeight="1" x14ac:dyDescent="0.25">
      <c r="A26" s="300"/>
      <c r="B26" s="301"/>
      <c r="C26" s="301"/>
      <c r="D26" s="301"/>
      <c r="E26" s="302"/>
      <c r="F26" s="68"/>
      <c r="G26" s="326" t="s">
        <v>402</v>
      </c>
      <c r="H26" s="327"/>
      <c r="I26" s="327"/>
      <c r="J26" s="328"/>
      <c r="K26" s="102"/>
    </row>
    <row r="27" spans="1:16" ht="29.25" customHeight="1" x14ac:dyDescent="0.25">
      <c r="A27" s="294" t="s">
        <v>318</v>
      </c>
      <c r="B27" s="295"/>
      <c r="C27" s="295"/>
      <c r="D27" s="295"/>
      <c r="E27" s="296"/>
      <c r="F27" s="68"/>
      <c r="G27" s="338" t="s">
        <v>24</v>
      </c>
      <c r="H27" s="339"/>
      <c r="I27" s="339"/>
      <c r="J27" s="340"/>
      <c r="K27" s="121"/>
    </row>
    <row r="28" spans="1:16" ht="31.5" customHeight="1" x14ac:dyDescent="0.25">
      <c r="A28" s="297"/>
      <c r="B28" s="298"/>
      <c r="C28" s="298"/>
      <c r="D28" s="298"/>
      <c r="E28" s="299"/>
      <c r="F28" s="68"/>
      <c r="G28" s="344" t="s">
        <v>394</v>
      </c>
      <c r="H28" s="345"/>
      <c r="I28" s="345"/>
      <c r="J28" s="346"/>
      <c r="K28" s="55"/>
      <c r="M28" s="116"/>
    </row>
    <row r="29" spans="1:16" ht="45" customHeight="1" x14ac:dyDescent="0.25">
      <c r="A29" s="297"/>
      <c r="B29" s="298"/>
      <c r="C29" s="298"/>
      <c r="D29" s="298"/>
      <c r="E29" s="299"/>
      <c r="F29" s="68"/>
      <c r="G29" s="341" t="s">
        <v>292</v>
      </c>
      <c r="H29" s="312"/>
      <c r="I29" s="312"/>
      <c r="J29" s="313"/>
      <c r="K29" s="122" t="s">
        <v>324</v>
      </c>
    </row>
    <row r="30" spans="1:16" ht="45" customHeight="1" x14ac:dyDescent="0.25">
      <c r="A30" s="297"/>
      <c r="B30" s="298"/>
      <c r="C30" s="298"/>
      <c r="D30" s="298"/>
      <c r="E30" s="299"/>
      <c r="F30" s="68"/>
      <c r="G30" s="126" t="s">
        <v>397</v>
      </c>
      <c r="H30" s="109"/>
      <c r="I30" s="109"/>
      <c r="J30" s="110"/>
      <c r="K30" s="122"/>
    </row>
    <row r="31" spans="1:16" ht="70.5" customHeight="1" x14ac:dyDescent="0.25">
      <c r="A31" s="300"/>
      <c r="B31" s="301"/>
      <c r="C31" s="301"/>
      <c r="D31" s="301"/>
      <c r="E31" s="302"/>
      <c r="F31" s="120"/>
      <c r="G31" s="123" t="s">
        <v>398</v>
      </c>
      <c r="H31" s="124"/>
      <c r="I31" s="124"/>
      <c r="J31" s="125"/>
      <c r="K31" s="102"/>
    </row>
    <row r="32" spans="1:16" ht="26.25" customHeight="1" x14ac:dyDescent="0.25">
      <c r="A32" s="303" t="s">
        <v>319</v>
      </c>
      <c r="B32" s="304"/>
      <c r="C32" s="304"/>
      <c r="D32" s="304"/>
      <c r="E32" s="304"/>
      <c r="F32" s="72"/>
      <c r="G32" s="341" t="s">
        <v>55</v>
      </c>
      <c r="H32" s="312"/>
      <c r="I32" s="312"/>
      <c r="J32" s="313"/>
      <c r="K32" s="58"/>
    </row>
    <row r="33" spans="1:13" ht="15.75" x14ac:dyDescent="0.25">
      <c r="A33" s="224"/>
      <c r="B33" s="225"/>
      <c r="C33" s="225"/>
      <c r="D33" s="225"/>
      <c r="E33" s="225"/>
      <c r="F33" s="73"/>
      <c r="G33" s="311" t="s">
        <v>390</v>
      </c>
      <c r="H33" s="312"/>
      <c r="I33" s="312"/>
      <c r="J33" s="313"/>
      <c r="K33" s="59"/>
    </row>
    <row r="34" spans="1:13" ht="35.25" customHeight="1" x14ac:dyDescent="0.25">
      <c r="A34" s="224"/>
      <c r="B34" s="225"/>
      <c r="C34" s="225"/>
      <c r="D34" s="225"/>
      <c r="E34" s="225"/>
      <c r="F34" s="73"/>
      <c r="G34" s="311" t="s">
        <v>36</v>
      </c>
      <c r="H34" s="312"/>
      <c r="I34" s="312"/>
      <c r="J34" s="313"/>
      <c r="K34" s="59" t="s">
        <v>287</v>
      </c>
      <c r="M34" s="116"/>
    </row>
    <row r="35" spans="1:13" ht="15.75" x14ac:dyDescent="0.25">
      <c r="A35" s="224"/>
      <c r="B35" s="225"/>
      <c r="C35" s="225"/>
      <c r="D35" s="225"/>
      <c r="E35" s="225"/>
      <c r="F35" s="73"/>
      <c r="G35" s="311" t="s">
        <v>377</v>
      </c>
      <c r="H35" s="312"/>
      <c r="I35" s="312"/>
      <c r="J35" s="313"/>
      <c r="K35" s="59"/>
    </row>
    <row r="36" spans="1:13" ht="43.5" customHeight="1" x14ac:dyDescent="0.25">
      <c r="A36" s="227"/>
      <c r="B36" s="228"/>
      <c r="C36" s="228"/>
      <c r="D36" s="228"/>
      <c r="E36" s="228"/>
      <c r="F36" s="74"/>
      <c r="G36" s="311" t="s">
        <v>378</v>
      </c>
      <c r="H36" s="312"/>
      <c r="I36" s="312"/>
      <c r="J36" s="313"/>
      <c r="K36" s="60"/>
    </row>
    <row r="37" spans="1:13" ht="46.5" customHeight="1" x14ac:dyDescent="0.25">
      <c r="A37" s="305" t="s">
        <v>320</v>
      </c>
      <c r="B37" s="306"/>
      <c r="C37" s="306"/>
      <c r="D37" s="306"/>
      <c r="E37" s="307"/>
      <c r="F37" s="67"/>
      <c r="G37" s="308" t="s">
        <v>379</v>
      </c>
      <c r="H37" s="309"/>
      <c r="I37" s="309"/>
      <c r="J37" s="310"/>
      <c r="K37" s="58"/>
    </row>
    <row r="38" spans="1:13" ht="48" customHeight="1" x14ac:dyDescent="0.25">
      <c r="A38" s="287"/>
      <c r="B38" s="225"/>
      <c r="C38" s="225"/>
      <c r="D38" s="225"/>
      <c r="E38" s="226"/>
      <c r="F38" s="69"/>
      <c r="G38" s="311" t="s">
        <v>294</v>
      </c>
      <c r="H38" s="312"/>
      <c r="I38" s="312"/>
      <c r="J38" s="313"/>
      <c r="K38" s="59"/>
    </row>
    <row r="39" spans="1:13" ht="34.5" customHeight="1" x14ac:dyDescent="0.25">
      <c r="A39" s="287"/>
      <c r="B39" s="225"/>
      <c r="C39" s="225"/>
      <c r="D39" s="225"/>
      <c r="E39" s="226"/>
      <c r="F39" s="69"/>
      <c r="G39" s="311" t="s">
        <v>295</v>
      </c>
      <c r="H39" s="312"/>
      <c r="I39" s="312"/>
      <c r="J39" s="313"/>
      <c r="K39" s="59" t="s">
        <v>296</v>
      </c>
    </row>
    <row r="40" spans="1:13" ht="35.25" customHeight="1" x14ac:dyDescent="0.25">
      <c r="A40" s="287"/>
      <c r="B40" s="225"/>
      <c r="C40" s="225"/>
      <c r="D40" s="225"/>
      <c r="E40" s="226"/>
      <c r="F40" s="69"/>
      <c r="G40" s="311" t="s">
        <v>349</v>
      </c>
      <c r="H40" s="312"/>
      <c r="I40" s="312"/>
      <c r="J40" s="313"/>
      <c r="K40" s="59"/>
    </row>
    <row r="41" spans="1:13" ht="13.5" customHeight="1" x14ac:dyDescent="0.25">
      <c r="A41" s="287"/>
      <c r="B41" s="225"/>
      <c r="C41" s="225"/>
      <c r="D41" s="225"/>
      <c r="E41" s="226"/>
      <c r="F41" s="69"/>
      <c r="G41" s="317" t="s">
        <v>395</v>
      </c>
      <c r="H41" s="318"/>
      <c r="I41" s="318"/>
      <c r="J41" s="319"/>
      <c r="K41" s="59"/>
      <c r="L41" s="116"/>
    </row>
    <row r="42" spans="1:13" ht="27.75" customHeight="1" x14ac:dyDescent="0.25">
      <c r="A42" s="288"/>
      <c r="B42" s="289"/>
      <c r="C42" s="289"/>
      <c r="D42" s="289"/>
      <c r="E42" s="290"/>
      <c r="F42" s="71"/>
      <c r="G42" s="111"/>
      <c r="H42" s="111"/>
      <c r="I42" s="111"/>
      <c r="J42" s="111"/>
      <c r="K42" s="60"/>
    </row>
    <row r="43" spans="1:13" ht="22.5" customHeight="1" x14ac:dyDescent="0.25">
      <c r="A43" s="303" t="s">
        <v>321</v>
      </c>
      <c r="B43" s="304"/>
      <c r="C43" s="304"/>
      <c r="D43" s="304"/>
      <c r="E43" s="304"/>
      <c r="F43" s="67"/>
      <c r="G43" s="308" t="s">
        <v>45</v>
      </c>
      <c r="H43" s="309"/>
      <c r="I43" s="309"/>
      <c r="J43" s="310"/>
      <c r="K43" s="58"/>
    </row>
    <row r="44" spans="1:13" ht="33.75" customHeight="1" x14ac:dyDescent="0.25">
      <c r="A44" s="224"/>
      <c r="B44" s="225"/>
      <c r="C44" s="225"/>
      <c r="D44" s="225"/>
      <c r="E44" s="225"/>
      <c r="F44" s="69"/>
      <c r="G44" s="311" t="s">
        <v>46</v>
      </c>
      <c r="H44" s="312"/>
      <c r="I44" s="312"/>
      <c r="J44" s="313"/>
      <c r="K44" s="59" t="s">
        <v>287</v>
      </c>
    </row>
    <row r="45" spans="1:13" ht="32.25" customHeight="1" x14ac:dyDescent="0.25">
      <c r="A45" s="224"/>
      <c r="B45" s="225"/>
      <c r="C45" s="225"/>
      <c r="D45" s="225"/>
      <c r="E45" s="225"/>
      <c r="F45" s="69"/>
      <c r="G45" s="311" t="s">
        <v>384</v>
      </c>
      <c r="H45" s="312"/>
      <c r="I45" s="312"/>
      <c r="J45" s="313"/>
      <c r="K45" s="59"/>
    </row>
    <row r="46" spans="1:13" ht="32.25" customHeight="1" x14ac:dyDescent="0.25">
      <c r="A46" s="287"/>
      <c r="B46" s="225"/>
      <c r="C46" s="225"/>
      <c r="D46" s="225"/>
      <c r="E46" s="225"/>
      <c r="F46" s="69"/>
      <c r="G46" s="132" t="s">
        <v>408</v>
      </c>
      <c r="H46" s="109"/>
      <c r="I46" s="109"/>
      <c r="J46" s="110"/>
      <c r="K46" s="59"/>
    </row>
    <row r="47" spans="1:13" ht="15.75" x14ac:dyDescent="0.25">
      <c r="A47" s="227"/>
      <c r="B47" s="228"/>
      <c r="C47" s="228"/>
      <c r="D47" s="228"/>
      <c r="E47" s="228"/>
      <c r="F47" s="71"/>
      <c r="G47" s="329"/>
      <c r="H47" s="330"/>
      <c r="I47" s="330"/>
      <c r="J47" s="331"/>
      <c r="K47" s="60"/>
    </row>
    <row r="48" spans="1:13" ht="47.25" customHeight="1" x14ac:dyDescent="0.25">
      <c r="A48" s="303" t="s">
        <v>322</v>
      </c>
      <c r="B48" s="304"/>
      <c r="C48" s="304"/>
      <c r="D48" s="304"/>
      <c r="E48" s="304"/>
      <c r="F48" s="67"/>
      <c r="G48" s="308" t="s">
        <v>306</v>
      </c>
      <c r="H48" s="309"/>
      <c r="I48" s="309"/>
      <c r="J48" s="310"/>
      <c r="K48" s="58"/>
    </row>
    <row r="49" spans="1:13" ht="30" customHeight="1" x14ac:dyDescent="0.25">
      <c r="A49" s="224"/>
      <c r="B49" s="225"/>
      <c r="C49" s="225"/>
      <c r="D49" s="225"/>
      <c r="E49" s="225"/>
      <c r="F49" s="69"/>
      <c r="G49" s="332" t="s">
        <v>400</v>
      </c>
      <c r="H49" s="333"/>
      <c r="I49" s="333"/>
      <c r="J49" s="334"/>
      <c r="K49" s="59" t="s">
        <v>287</v>
      </c>
    </row>
    <row r="50" spans="1:13" ht="27.75" customHeight="1" x14ac:dyDescent="0.25">
      <c r="A50" s="224"/>
      <c r="B50" s="225"/>
      <c r="C50" s="225"/>
      <c r="D50" s="225"/>
      <c r="E50" s="225"/>
      <c r="F50" s="69"/>
      <c r="G50" s="311" t="s">
        <v>298</v>
      </c>
      <c r="H50" s="312"/>
      <c r="I50" s="312"/>
      <c r="J50" s="313"/>
      <c r="K50" s="59"/>
    </row>
    <row r="51" spans="1:13" ht="27.75" customHeight="1" x14ac:dyDescent="0.25">
      <c r="A51" s="287"/>
      <c r="B51" s="225"/>
      <c r="C51" s="225"/>
      <c r="D51" s="225"/>
      <c r="E51" s="225"/>
      <c r="F51" s="69"/>
      <c r="G51" s="311" t="s">
        <v>374</v>
      </c>
      <c r="H51" s="312"/>
      <c r="I51" s="312"/>
      <c r="J51" s="313"/>
      <c r="K51" s="127"/>
    </row>
    <row r="52" spans="1:13" ht="33.950000000000003" customHeight="1" x14ac:dyDescent="0.25">
      <c r="A52" s="227"/>
      <c r="B52" s="228"/>
      <c r="C52" s="228"/>
      <c r="D52" s="228"/>
      <c r="E52" s="228"/>
      <c r="F52" s="69"/>
      <c r="G52" s="317" t="s">
        <v>403</v>
      </c>
      <c r="H52" s="318"/>
      <c r="I52" s="318"/>
      <c r="J52" s="319"/>
      <c r="K52" s="59"/>
    </row>
    <row r="53" spans="1:13" ht="15.75" x14ac:dyDescent="0.25">
      <c r="A53" s="303" t="s">
        <v>323</v>
      </c>
      <c r="B53" s="304"/>
      <c r="C53" s="304"/>
      <c r="D53" s="304"/>
      <c r="E53" s="304"/>
      <c r="F53" s="67"/>
      <c r="G53" s="308" t="s">
        <v>305</v>
      </c>
      <c r="H53" s="309"/>
      <c r="I53" s="309"/>
      <c r="J53" s="310"/>
      <c r="K53" s="58"/>
    </row>
    <row r="54" spans="1:13" ht="39.75" customHeight="1" x14ac:dyDescent="0.25">
      <c r="A54" s="224"/>
      <c r="B54" s="225"/>
      <c r="C54" s="225"/>
      <c r="D54" s="225"/>
      <c r="E54" s="225"/>
      <c r="F54" s="69"/>
      <c r="G54" s="311" t="s">
        <v>299</v>
      </c>
      <c r="H54" s="312"/>
      <c r="I54" s="312"/>
      <c r="J54" s="313"/>
      <c r="K54" s="59" t="s">
        <v>287</v>
      </c>
    </row>
    <row r="55" spans="1:13" ht="45.75" customHeight="1" x14ac:dyDescent="0.25">
      <c r="A55" s="224"/>
      <c r="B55" s="225"/>
      <c r="C55" s="225"/>
      <c r="D55" s="225"/>
      <c r="E55" s="225"/>
      <c r="F55" s="69"/>
      <c r="G55" s="311" t="s">
        <v>407</v>
      </c>
      <c r="H55" s="312"/>
      <c r="I55" s="312"/>
      <c r="J55" s="313"/>
      <c r="K55" s="59"/>
    </row>
    <row r="56" spans="1:13" ht="58.5" customHeight="1" x14ac:dyDescent="0.25">
      <c r="A56" s="227"/>
      <c r="B56" s="228"/>
      <c r="C56" s="228"/>
      <c r="D56" s="228"/>
      <c r="E56" s="228"/>
      <c r="F56" s="71"/>
      <c r="G56" s="314"/>
      <c r="H56" s="312"/>
      <c r="I56" s="312"/>
      <c r="J56" s="313"/>
      <c r="K56" s="60"/>
    </row>
    <row r="57" spans="1:13" ht="15.75" customHeight="1" x14ac:dyDescent="0.25">
      <c r="A57" s="221" t="s">
        <v>383</v>
      </c>
      <c r="B57" s="222"/>
      <c r="C57" s="222"/>
      <c r="D57" s="222"/>
      <c r="E57" s="222"/>
      <c r="F57" s="61"/>
      <c r="G57" s="112"/>
      <c r="H57" s="113"/>
      <c r="I57" s="113"/>
      <c r="J57" s="114"/>
      <c r="K57" s="280" t="s">
        <v>301</v>
      </c>
    </row>
    <row r="58" spans="1:13" ht="30" customHeight="1" x14ac:dyDescent="0.25">
      <c r="A58" s="224"/>
      <c r="B58" s="225"/>
      <c r="C58" s="225"/>
      <c r="D58" s="225"/>
      <c r="E58" s="225"/>
      <c r="F58" s="73"/>
      <c r="G58" s="311" t="s">
        <v>405</v>
      </c>
      <c r="H58" s="312"/>
      <c r="I58" s="312"/>
      <c r="J58" s="313"/>
      <c r="K58" s="281"/>
    </row>
    <row r="59" spans="1:13" ht="15.75" customHeight="1" x14ac:dyDescent="0.25">
      <c r="A59" s="224"/>
      <c r="B59" s="225"/>
      <c r="C59" s="225"/>
      <c r="D59" s="225"/>
      <c r="E59" s="225"/>
      <c r="F59" s="73"/>
      <c r="G59" s="311" t="s">
        <v>302</v>
      </c>
      <c r="H59" s="312"/>
      <c r="I59" s="312"/>
      <c r="J59" s="313"/>
      <c r="K59" s="281"/>
    </row>
    <row r="60" spans="1:13" ht="15.75" customHeight="1" x14ac:dyDescent="0.25">
      <c r="A60" s="224"/>
      <c r="B60" s="225"/>
      <c r="C60" s="225"/>
      <c r="D60" s="225"/>
      <c r="E60" s="225"/>
      <c r="F60" s="73"/>
      <c r="G60" s="311" t="s">
        <v>404</v>
      </c>
      <c r="H60" s="312"/>
      <c r="I60" s="312"/>
      <c r="J60" s="313"/>
      <c r="K60" s="281"/>
    </row>
    <row r="61" spans="1:13" ht="15.75" customHeight="1" x14ac:dyDescent="0.25">
      <c r="A61" s="224"/>
      <c r="B61" s="225"/>
      <c r="C61" s="225"/>
      <c r="D61" s="225"/>
      <c r="E61" s="225"/>
      <c r="F61" s="73"/>
      <c r="G61" s="311" t="s">
        <v>406</v>
      </c>
      <c r="H61" s="312"/>
      <c r="I61" s="312"/>
      <c r="J61" s="313"/>
      <c r="K61" s="281"/>
      <c r="L61" s="62"/>
      <c r="M61" s="62"/>
    </row>
    <row r="62" spans="1:13" ht="34.5" customHeight="1" x14ac:dyDescent="0.25">
      <c r="A62" s="284" t="s">
        <v>309</v>
      </c>
      <c r="B62" s="285"/>
      <c r="C62" s="285"/>
      <c r="D62" s="285"/>
      <c r="E62" s="286"/>
      <c r="F62" s="57"/>
      <c r="G62" s="315" t="s">
        <v>310</v>
      </c>
      <c r="H62" s="315"/>
      <c r="I62" s="315"/>
      <c r="J62" s="316"/>
      <c r="K62" s="291" t="s">
        <v>301</v>
      </c>
    </row>
    <row r="63" spans="1:13" ht="29.25" customHeight="1" x14ac:dyDescent="0.25">
      <c r="A63" s="287"/>
      <c r="B63" s="225"/>
      <c r="C63" s="225"/>
      <c r="D63" s="225"/>
      <c r="E63" s="226"/>
      <c r="G63" s="315" t="s">
        <v>311</v>
      </c>
      <c r="H63" s="315"/>
      <c r="I63" s="315"/>
      <c r="J63" s="316"/>
      <c r="K63" s="292"/>
    </row>
    <row r="64" spans="1:13" ht="27" customHeight="1" x14ac:dyDescent="0.25">
      <c r="A64" s="287"/>
      <c r="B64" s="225"/>
      <c r="C64" s="225"/>
      <c r="D64" s="225"/>
      <c r="E64" s="226"/>
      <c r="F64" s="65"/>
      <c r="G64" s="315" t="s">
        <v>312</v>
      </c>
      <c r="H64" s="315"/>
      <c r="I64" s="315"/>
      <c r="J64" s="316"/>
      <c r="K64" s="292"/>
    </row>
    <row r="65" spans="1:11" ht="32.25" customHeight="1" x14ac:dyDescent="0.25">
      <c r="A65" s="287"/>
      <c r="B65" s="225"/>
      <c r="C65" s="225"/>
      <c r="D65" s="225"/>
      <c r="E65" s="226"/>
      <c r="G65" s="342" t="s">
        <v>380</v>
      </c>
      <c r="H65" s="342"/>
      <c r="I65" s="342"/>
      <c r="J65" s="343"/>
      <c r="K65" s="292"/>
    </row>
    <row r="66" spans="1:11" ht="41.25" customHeight="1" x14ac:dyDescent="0.25">
      <c r="A66" s="288"/>
      <c r="B66" s="289"/>
      <c r="C66" s="289"/>
      <c r="D66" s="289"/>
      <c r="E66" s="290"/>
      <c r="G66" s="282" t="s">
        <v>381</v>
      </c>
      <c r="H66" s="283"/>
      <c r="I66" s="283"/>
      <c r="J66" s="283"/>
      <c r="K66" s="293"/>
    </row>
    <row r="67" spans="1:11" ht="15.75" customHeight="1" x14ac:dyDescent="0.25">
      <c r="A67" s="351" t="s">
        <v>385</v>
      </c>
      <c r="B67" s="352"/>
      <c r="C67" s="352"/>
      <c r="D67" s="352"/>
      <c r="E67" s="353"/>
      <c r="F67" s="117"/>
      <c r="G67" s="364" t="s">
        <v>387</v>
      </c>
      <c r="H67" s="365"/>
      <c r="I67" s="365"/>
      <c r="J67" s="366"/>
      <c r="K67" s="350" t="s">
        <v>287</v>
      </c>
    </row>
    <row r="68" spans="1:11" ht="32.25" customHeight="1" x14ac:dyDescent="0.25">
      <c r="A68" s="354"/>
      <c r="B68" s="355"/>
      <c r="C68" s="355"/>
      <c r="D68" s="355"/>
      <c r="E68" s="356"/>
      <c r="F68" s="118"/>
      <c r="G68" s="317" t="s">
        <v>388</v>
      </c>
      <c r="H68" s="318"/>
      <c r="I68" s="318"/>
      <c r="J68" s="319"/>
      <c r="K68" s="292"/>
    </row>
    <row r="69" spans="1:11" x14ac:dyDescent="0.25">
      <c r="A69" s="354"/>
      <c r="B69" s="355"/>
      <c r="C69" s="355"/>
      <c r="D69" s="355"/>
      <c r="E69" s="356"/>
      <c r="F69" s="119"/>
      <c r="G69" s="118"/>
      <c r="H69" s="118"/>
      <c r="I69" s="118"/>
      <c r="J69" s="118"/>
      <c r="K69" s="292"/>
    </row>
    <row r="70" spans="1:11" x14ac:dyDescent="0.25">
      <c r="A70" s="354"/>
      <c r="B70" s="355"/>
      <c r="C70" s="355"/>
      <c r="D70" s="355"/>
      <c r="E70" s="356"/>
      <c r="F70" s="118"/>
      <c r="G70" s="360"/>
      <c r="H70" s="360"/>
      <c r="I70" s="360"/>
      <c r="J70" s="361"/>
      <c r="K70" s="292"/>
    </row>
    <row r="71" spans="1:11" x14ac:dyDescent="0.25">
      <c r="A71" s="357"/>
      <c r="B71" s="358"/>
      <c r="C71" s="358"/>
      <c r="D71" s="358"/>
      <c r="E71" s="359"/>
      <c r="F71" s="118"/>
      <c r="G71" s="362"/>
      <c r="H71" s="363"/>
      <c r="I71" s="363"/>
      <c r="J71" s="363"/>
      <c r="K71" s="293"/>
    </row>
    <row r="72" spans="1:11" x14ac:dyDescent="0.25">
      <c r="A72" s="115" t="s">
        <v>393</v>
      </c>
      <c r="C72" s="50" t="s">
        <v>373</v>
      </c>
      <c r="K72" s="350" t="s">
        <v>287</v>
      </c>
    </row>
    <row r="73" spans="1:11" x14ac:dyDescent="0.25">
      <c r="K73" s="292"/>
    </row>
    <row r="74" spans="1:11" x14ac:dyDescent="0.25">
      <c r="K74" s="292"/>
    </row>
    <row r="75" spans="1:11" x14ac:dyDescent="0.25">
      <c r="K75" s="292"/>
    </row>
    <row r="76" spans="1:11" x14ac:dyDescent="0.25">
      <c r="K76" s="293"/>
    </row>
  </sheetData>
  <mergeCells count="74">
    <mergeCell ref="A6:E6"/>
    <mergeCell ref="G6:J6"/>
    <mergeCell ref="A7:E10"/>
    <mergeCell ref="G7:J7"/>
    <mergeCell ref="G8:J8"/>
    <mergeCell ref="G9:J9"/>
    <mergeCell ref="A17:E21"/>
    <mergeCell ref="G18:J18"/>
    <mergeCell ref="G19:J19"/>
    <mergeCell ref="G20:J20"/>
    <mergeCell ref="G21:J21"/>
    <mergeCell ref="A11:E16"/>
    <mergeCell ref="G12:J12"/>
    <mergeCell ref="G13:J13"/>
    <mergeCell ref="G14:J14"/>
    <mergeCell ref="G15:J15"/>
    <mergeCell ref="A22:E26"/>
    <mergeCell ref="G22:J22"/>
    <mergeCell ref="G23:J23"/>
    <mergeCell ref="G24:J24"/>
    <mergeCell ref="G25:J25"/>
    <mergeCell ref="G26:J26"/>
    <mergeCell ref="A27:E31"/>
    <mergeCell ref="G27:J27"/>
    <mergeCell ref="G28:J28"/>
    <mergeCell ref="G29:J29"/>
    <mergeCell ref="A32:E36"/>
    <mergeCell ref="G32:J32"/>
    <mergeCell ref="G33:J33"/>
    <mergeCell ref="G34:J34"/>
    <mergeCell ref="G35:J35"/>
    <mergeCell ref="G36:J36"/>
    <mergeCell ref="A37:E42"/>
    <mergeCell ref="G37:J37"/>
    <mergeCell ref="G38:J38"/>
    <mergeCell ref="G39:J39"/>
    <mergeCell ref="G40:J40"/>
    <mergeCell ref="G41:J41"/>
    <mergeCell ref="A43:E47"/>
    <mergeCell ref="G43:J43"/>
    <mergeCell ref="G44:J44"/>
    <mergeCell ref="G45:J45"/>
    <mergeCell ref="G47:J47"/>
    <mergeCell ref="G52:J52"/>
    <mergeCell ref="A53:E56"/>
    <mergeCell ref="G53:J53"/>
    <mergeCell ref="G54:J54"/>
    <mergeCell ref="G55:J55"/>
    <mergeCell ref="G56:J56"/>
    <mergeCell ref="A48:E52"/>
    <mergeCell ref="G48:J48"/>
    <mergeCell ref="G49:J49"/>
    <mergeCell ref="G50:J50"/>
    <mergeCell ref="G51:J51"/>
    <mergeCell ref="A57:E61"/>
    <mergeCell ref="K57:K61"/>
    <mergeCell ref="G58:J58"/>
    <mergeCell ref="G59:J59"/>
    <mergeCell ref="G60:J60"/>
    <mergeCell ref="G61:J61"/>
    <mergeCell ref="A62:E66"/>
    <mergeCell ref="G62:J62"/>
    <mergeCell ref="K62:K66"/>
    <mergeCell ref="G63:J63"/>
    <mergeCell ref="G64:J64"/>
    <mergeCell ref="G65:J65"/>
    <mergeCell ref="G66:J66"/>
    <mergeCell ref="K72:K76"/>
    <mergeCell ref="A67:E71"/>
    <mergeCell ref="G67:J67"/>
    <mergeCell ref="K67:K71"/>
    <mergeCell ref="G68:J68"/>
    <mergeCell ref="G70:J70"/>
    <mergeCell ref="G71:J71"/>
  </mergeCells>
  <printOptions horizontalCentered="1"/>
  <pageMargins left="0.70866141732283472" right="0.70866141732283472" top="0.35433070866141736" bottom="0.55118110236220474" header="0.31496062992125984" footer="0.31496062992125984"/>
  <pageSetup paperSize="5" orientation="landscape" r:id="rId1"/>
  <headerFooter>
    <oddFooter>&amp;LFORMATO - DIRECTORES - JEFES - CERVANTES DIAZ SHIRLEY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5DD6C-699F-41B3-8A61-F6C36374D004}">
  <sheetPr>
    <tabColor theme="6" tint="-0.249977111117893"/>
  </sheetPr>
  <dimension ref="A2:P66"/>
  <sheetViews>
    <sheetView showGridLines="0" topLeftCell="A31" zoomScale="87" zoomScaleNormal="87" zoomScaleSheetLayoutView="75" workbookViewId="0">
      <selection activeCell="G27" sqref="G27:J27"/>
    </sheetView>
  </sheetViews>
  <sheetFormatPr baseColWidth="10" defaultColWidth="11.42578125" defaultRowHeight="15" x14ac:dyDescent="0.25"/>
  <cols>
    <col min="1" max="2" width="11.42578125" style="50"/>
    <col min="3" max="3" width="17.85546875" style="50" customWidth="1"/>
    <col min="4" max="4" width="15.85546875" style="50" customWidth="1"/>
    <col min="5" max="5" width="25" style="50" customWidth="1"/>
    <col min="6" max="6" width="7" style="50" hidden="1" customWidth="1"/>
    <col min="7" max="7" width="50.140625" style="50" customWidth="1"/>
    <col min="8" max="10" width="11.42578125" style="50"/>
    <col min="11" max="11" width="22.140625" style="51" customWidth="1"/>
    <col min="12" max="16384" width="11.42578125" style="50"/>
  </cols>
  <sheetData>
    <row r="2" spans="1:11" ht="23.25" x14ac:dyDescent="0.35">
      <c r="C2" s="52" t="s">
        <v>382</v>
      </c>
      <c r="D2" s="52"/>
      <c r="E2" s="52"/>
      <c r="F2" s="52"/>
      <c r="G2" s="52"/>
    </row>
    <row r="3" spans="1:11" ht="18.75" x14ac:dyDescent="0.3">
      <c r="C3" s="53" t="s">
        <v>281</v>
      </c>
    </row>
    <row r="4" spans="1:11" ht="18.75" x14ac:dyDescent="0.3">
      <c r="C4" s="53" t="s">
        <v>282</v>
      </c>
    </row>
    <row r="6" spans="1:11" ht="35.25" customHeight="1" x14ac:dyDescent="0.3">
      <c r="A6" s="277" t="s">
        <v>314</v>
      </c>
      <c r="B6" s="278"/>
      <c r="C6" s="278"/>
      <c r="D6" s="278"/>
      <c r="E6" s="278"/>
      <c r="F6" s="63"/>
      <c r="G6" s="277" t="s">
        <v>283</v>
      </c>
      <c r="H6" s="278"/>
      <c r="I6" s="278"/>
      <c r="J6" s="279"/>
      <c r="K6" s="64" t="s">
        <v>284</v>
      </c>
    </row>
    <row r="7" spans="1:11" ht="52.5" customHeight="1" x14ac:dyDescent="0.25">
      <c r="A7" s="303" t="s">
        <v>313</v>
      </c>
      <c r="B7" s="304"/>
      <c r="C7" s="304"/>
      <c r="D7" s="304"/>
      <c r="E7" s="304"/>
      <c r="F7" s="67"/>
      <c r="G7" s="338" t="s">
        <v>285</v>
      </c>
      <c r="H7" s="339"/>
      <c r="I7" s="339"/>
      <c r="J7" s="340"/>
      <c r="K7" s="54"/>
    </row>
    <row r="8" spans="1:11" ht="31.5" customHeight="1" x14ac:dyDescent="0.25">
      <c r="A8" s="224"/>
      <c r="B8" s="225"/>
      <c r="C8" s="225"/>
      <c r="D8" s="225"/>
      <c r="E8" s="225"/>
      <c r="F8" s="69"/>
      <c r="G8" s="341" t="s">
        <v>286</v>
      </c>
      <c r="H8" s="312"/>
      <c r="I8" s="312"/>
      <c r="J8" s="313"/>
      <c r="K8" s="55" t="s">
        <v>287</v>
      </c>
    </row>
    <row r="9" spans="1:11" ht="31.5" customHeight="1" x14ac:dyDescent="0.25">
      <c r="A9" s="287"/>
      <c r="B9" s="225"/>
      <c r="C9" s="225"/>
      <c r="D9" s="225"/>
      <c r="E9" s="225"/>
      <c r="F9" s="69"/>
      <c r="G9" s="341" t="s">
        <v>389</v>
      </c>
      <c r="H9" s="312"/>
      <c r="I9" s="312"/>
      <c r="J9" s="313"/>
      <c r="K9" s="55"/>
    </row>
    <row r="10" spans="1:11" ht="71.25" customHeight="1" x14ac:dyDescent="0.25">
      <c r="A10" s="227"/>
      <c r="B10" s="228"/>
      <c r="C10" s="228"/>
      <c r="D10" s="228"/>
      <c r="E10" s="228"/>
      <c r="F10" s="71"/>
      <c r="G10" s="135" t="s">
        <v>409</v>
      </c>
      <c r="H10" s="133"/>
      <c r="I10" s="133"/>
      <c r="J10" s="134"/>
      <c r="K10" s="56"/>
    </row>
    <row r="11" spans="1:11" ht="15" customHeight="1" x14ac:dyDescent="0.25">
      <c r="A11" s="305" t="s">
        <v>386</v>
      </c>
      <c r="B11" s="306"/>
      <c r="C11" s="306"/>
      <c r="D11" s="306"/>
      <c r="E11" s="306"/>
      <c r="F11" s="66"/>
      <c r="G11" s="103"/>
      <c r="H11" s="104"/>
      <c r="I11" s="104"/>
      <c r="J11" s="105"/>
      <c r="K11" s="54"/>
    </row>
    <row r="12" spans="1:11" ht="51" customHeight="1" x14ac:dyDescent="0.25">
      <c r="A12" s="287"/>
      <c r="B12" s="225"/>
      <c r="C12" s="225"/>
      <c r="D12" s="225"/>
      <c r="E12" s="225"/>
      <c r="F12" s="68"/>
      <c r="G12" s="341" t="s">
        <v>307</v>
      </c>
      <c r="H12" s="312"/>
      <c r="I12" s="312"/>
      <c r="J12" s="313"/>
      <c r="K12" s="55" t="s">
        <v>287</v>
      </c>
    </row>
    <row r="13" spans="1:11" ht="51" customHeight="1" x14ac:dyDescent="0.25">
      <c r="A13" s="287"/>
      <c r="B13" s="225"/>
      <c r="C13" s="225"/>
      <c r="D13" s="225"/>
      <c r="E13" s="225"/>
      <c r="F13" s="68"/>
      <c r="G13" s="341" t="s">
        <v>375</v>
      </c>
      <c r="H13" s="312"/>
      <c r="I13" s="312"/>
      <c r="J13" s="313"/>
      <c r="K13" s="55"/>
    </row>
    <row r="14" spans="1:11" ht="35.25" customHeight="1" x14ac:dyDescent="0.25">
      <c r="A14" s="287"/>
      <c r="B14" s="225"/>
      <c r="C14" s="225"/>
      <c r="D14" s="225"/>
      <c r="E14" s="225"/>
      <c r="F14" s="68"/>
      <c r="G14" s="341" t="s">
        <v>391</v>
      </c>
      <c r="H14" s="312"/>
      <c r="I14" s="312"/>
      <c r="J14" s="313"/>
      <c r="K14" s="55"/>
    </row>
    <row r="15" spans="1:11" ht="35.25" customHeight="1" x14ac:dyDescent="0.25">
      <c r="A15" s="287"/>
      <c r="B15" s="225"/>
      <c r="C15" s="225"/>
      <c r="D15" s="225"/>
      <c r="E15" s="225"/>
      <c r="F15" s="68"/>
      <c r="G15" s="341" t="s">
        <v>392</v>
      </c>
      <c r="H15" s="312"/>
      <c r="I15" s="312"/>
      <c r="J15" s="313"/>
      <c r="K15" s="55"/>
    </row>
    <row r="16" spans="1:11" ht="26.25" customHeight="1" x14ac:dyDescent="0.25">
      <c r="A16" s="288"/>
      <c r="B16" s="289"/>
      <c r="C16" s="289"/>
      <c r="D16" s="289"/>
      <c r="E16" s="289"/>
      <c r="F16" s="70"/>
      <c r="G16" s="128" t="s">
        <v>401</v>
      </c>
      <c r="H16" s="106"/>
      <c r="I16" s="106"/>
      <c r="J16" s="107"/>
      <c r="K16" s="56"/>
    </row>
    <row r="17" spans="1:16" ht="9" customHeight="1" x14ac:dyDescent="0.25">
      <c r="A17" s="320" t="s">
        <v>316</v>
      </c>
      <c r="B17" s="321"/>
      <c r="C17" s="321"/>
      <c r="D17" s="321"/>
      <c r="E17" s="321"/>
      <c r="F17" s="61"/>
      <c r="G17" s="108"/>
      <c r="H17" s="109"/>
      <c r="I17" s="109"/>
      <c r="J17" s="110"/>
      <c r="K17" s="58"/>
    </row>
    <row r="18" spans="1:16" ht="36.75" customHeight="1" x14ac:dyDescent="0.25">
      <c r="A18" s="322"/>
      <c r="B18" s="298"/>
      <c r="C18" s="298"/>
      <c r="D18" s="298"/>
      <c r="E18" s="298"/>
      <c r="F18" s="69"/>
      <c r="G18" s="311" t="s">
        <v>29</v>
      </c>
      <c r="H18" s="312"/>
      <c r="I18" s="312"/>
      <c r="J18" s="313"/>
      <c r="K18" s="59"/>
    </row>
    <row r="19" spans="1:16" ht="37.5" customHeight="1" x14ac:dyDescent="0.25">
      <c r="A19" s="322"/>
      <c r="B19" s="298"/>
      <c r="C19" s="298"/>
      <c r="D19" s="298"/>
      <c r="E19" s="298"/>
      <c r="F19" s="69"/>
      <c r="G19" s="311" t="s">
        <v>30</v>
      </c>
      <c r="H19" s="312"/>
      <c r="I19" s="312"/>
      <c r="J19" s="313"/>
      <c r="K19" s="59" t="s">
        <v>287</v>
      </c>
    </row>
    <row r="20" spans="1:16" ht="33.75" customHeight="1" x14ac:dyDescent="0.25">
      <c r="A20" s="322"/>
      <c r="B20" s="298"/>
      <c r="C20" s="298"/>
      <c r="D20" s="298"/>
      <c r="E20" s="298"/>
      <c r="F20" s="69"/>
      <c r="G20" s="311" t="s">
        <v>289</v>
      </c>
      <c r="H20" s="312"/>
      <c r="I20" s="312"/>
      <c r="J20" s="313"/>
      <c r="K20" s="59"/>
    </row>
    <row r="21" spans="1:16" ht="29.25" customHeight="1" x14ac:dyDescent="0.25">
      <c r="A21" s="322"/>
      <c r="B21" s="298"/>
      <c r="C21" s="298"/>
      <c r="D21" s="298"/>
      <c r="E21" s="298"/>
      <c r="F21" s="69"/>
      <c r="G21" s="311"/>
      <c r="H21" s="312"/>
      <c r="I21" s="312"/>
      <c r="J21" s="313"/>
      <c r="K21" s="60"/>
    </row>
    <row r="22" spans="1:16" ht="40.5" customHeight="1" x14ac:dyDescent="0.25">
      <c r="A22" s="323" t="s">
        <v>317</v>
      </c>
      <c r="B22" s="324"/>
      <c r="C22" s="324"/>
      <c r="D22" s="324"/>
      <c r="E22" s="325"/>
      <c r="F22" s="68"/>
      <c r="G22" s="347" t="s">
        <v>376</v>
      </c>
      <c r="H22" s="348"/>
      <c r="I22" s="348"/>
      <c r="J22" s="349"/>
      <c r="K22" s="101" t="s">
        <v>287</v>
      </c>
    </row>
    <row r="23" spans="1:16" ht="30.95" customHeight="1" x14ac:dyDescent="0.25">
      <c r="A23" s="322"/>
      <c r="B23" s="298"/>
      <c r="C23" s="298"/>
      <c r="D23" s="298"/>
      <c r="E23" s="299"/>
      <c r="F23" s="68"/>
      <c r="G23" s="311" t="s">
        <v>8</v>
      </c>
      <c r="H23" s="312"/>
      <c r="I23" s="312"/>
      <c r="J23" s="313"/>
      <c r="K23" s="55"/>
      <c r="L23" s="130"/>
      <c r="M23" s="131"/>
      <c r="N23" s="130"/>
      <c r="O23" s="130"/>
      <c r="P23" s="130"/>
    </row>
    <row r="24" spans="1:16" ht="36" customHeight="1" x14ac:dyDescent="0.25">
      <c r="A24" s="322"/>
      <c r="B24" s="298"/>
      <c r="C24" s="298"/>
      <c r="D24" s="298"/>
      <c r="E24" s="299"/>
      <c r="F24" s="68"/>
      <c r="G24" s="317" t="s">
        <v>396</v>
      </c>
      <c r="H24" s="318"/>
      <c r="I24" s="318"/>
      <c r="J24" s="319"/>
      <c r="K24" s="55"/>
    </row>
    <row r="25" spans="1:16" ht="31.5" customHeight="1" x14ac:dyDescent="0.25">
      <c r="A25" s="322"/>
      <c r="B25" s="298"/>
      <c r="C25" s="298"/>
      <c r="D25" s="298"/>
      <c r="E25" s="299"/>
      <c r="F25" s="68"/>
      <c r="G25" s="311" t="s">
        <v>399</v>
      </c>
      <c r="H25" s="312"/>
      <c r="I25" s="312"/>
      <c r="J25" s="313"/>
      <c r="K25" s="55"/>
      <c r="M25" s="129"/>
    </row>
    <row r="26" spans="1:16" ht="95.25" customHeight="1" x14ac:dyDescent="0.25">
      <c r="A26" s="300"/>
      <c r="B26" s="301"/>
      <c r="C26" s="301"/>
      <c r="D26" s="301"/>
      <c r="E26" s="302"/>
      <c r="F26" s="68"/>
      <c r="G26" s="326" t="s">
        <v>402</v>
      </c>
      <c r="H26" s="327"/>
      <c r="I26" s="327"/>
      <c r="J26" s="328"/>
      <c r="K26" s="102"/>
    </row>
    <row r="27" spans="1:16" ht="29.25" customHeight="1" x14ac:dyDescent="0.25">
      <c r="A27" s="294" t="s">
        <v>318</v>
      </c>
      <c r="B27" s="295"/>
      <c r="C27" s="295"/>
      <c r="D27" s="295"/>
      <c r="E27" s="296"/>
      <c r="F27" s="68"/>
      <c r="G27" s="338" t="s">
        <v>24</v>
      </c>
      <c r="H27" s="339"/>
      <c r="I27" s="339"/>
      <c r="J27" s="340"/>
      <c r="K27" s="121"/>
    </row>
    <row r="28" spans="1:16" ht="31.5" customHeight="1" x14ac:dyDescent="0.25">
      <c r="A28" s="297"/>
      <c r="B28" s="298"/>
      <c r="C28" s="298"/>
      <c r="D28" s="298"/>
      <c r="E28" s="299"/>
      <c r="F28" s="68"/>
      <c r="G28" s="344" t="s">
        <v>394</v>
      </c>
      <c r="H28" s="345"/>
      <c r="I28" s="345"/>
      <c r="J28" s="346"/>
      <c r="K28" s="55"/>
      <c r="M28" s="116"/>
    </row>
    <row r="29" spans="1:16" ht="45" customHeight="1" x14ac:dyDescent="0.25">
      <c r="A29" s="297"/>
      <c r="B29" s="298"/>
      <c r="C29" s="298"/>
      <c r="D29" s="298"/>
      <c r="E29" s="299"/>
      <c r="F29" s="68"/>
      <c r="G29" s="341" t="s">
        <v>292</v>
      </c>
      <c r="H29" s="312"/>
      <c r="I29" s="312"/>
      <c r="J29" s="313"/>
      <c r="K29" s="122" t="s">
        <v>324</v>
      </c>
    </row>
    <row r="30" spans="1:16" ht="45" customHeight="1" x14ac:dyDescent="0.25">
      <c r="A30" s="297"/>
      <c r="B30" s="298"/>
      <c r="C30" s="298"/>
      <c r="D30" s="298"/>
      <c r="E30" s="299"/>
      <c r="F30" s="68"/>
      <c r="G30" s="126" t="s">
        <v>397</v>
      </c>
      <c r="H30" s="109"/>
      <c r="I30" s="109"/>
      <c r="J30" s="110"/>
      <c r="K30" s="122"/>
    </row>
    <row r="31" spans="1:16" ht="70.5" customHeight="1" x14ac:dyDescent="0.25">
      <c r="A31" s="300"/>
      <c r="B31" s="301"/>
      <c r="C31" s="301"/>
      <c r="D31" s="301"/>
      <c r="E31" s="302"/>
      <c r="F31" s="120"/>
      <c r="G31" s="123" t="s">
        <v>398</v>
      </c>
      <c r="H31" s="124"/>
      <c r="I31" s="124"/>
      <c r="J31" s="125"/>
      <c r="K31" s="102"/>
    </row>
    <row r="32" spans="1:16" ht="26.25" customHeight="1" x14ac:dyDescent="0.25">
      <c r="A32" s="303" t="s">
        <v>319</v>
      </c>
      <c r="B32" s="304"/>
      <c r="C32" s="304"/>
      <c r="D32" s="304"/>
      <c r="E32" s="304"/>
      <c r="F32" s="72"/>
      <c r="G32" s="341" t="s">
        <v>55</v>
      </c>
      <c r="H32" s="312"/>
      <c r="I32" s="312"/>
      <c r="J32" s="313"/>
      <c r="K32" s="58"/>
    </row>
    <row r="33" spans="1:13" ht="15.75" x14ac:dyDescent="0.25">
      <c r="A33" s="224"/>
      <c r="B33" s="225"/>
      <c r="C33" s="225"/>
      <c r="D33" s="225"/>
      <c r="E33" s="225"/>
      <c r="F33" s="73"/>
      <c r="G33" s="311" t="s">
        <v>390</v>
      </c>
      <c r="H33" s="312"/>
      <c r="I33" s="312"/>
      <c r="J33" s="313"/>
      <c r="K33" s="59"/>
    </row>
    <row r="34" spans="1:13" ht="35.25" customHeight="1" x14ac:dyDescent="0.25">
      <c r="A34" s="224"/>
      <c r="B34" s="225"/>
      <c r="C34" s="225"/>
      <c r="D34" s="225"/>
      <c r="E34" s="225"/>
      <c r="F34" s="73"/>
      <c r="G34" s="311" t="s">
        <v>36</v>
      </c>
      <c r="H34" s="312"/>
      <c r="I34" s="312"/>
      <c r="J34" s="313"/>
      <c r="K34" s="59" t="s">
        <v>287</v>
      </c>
      <c r="M34" s="116"/>
    </row>
    <row r="35" spans="1:13" ht="15.75" x14ac:dyDescent="0.25">
      <c r="A35" s="224"/>
      <c r="B35" s="225"/>
      <c r="C35" s="225"/>
      <c r="D35" s="225"/>
      <c r="E35" s="225"/>
      <c r="F35" s="73"/>
      <c r="G35" s="311" t="s">
        <v>377</v>
      </c>
      <c r="H35" s="312"/>
      <c r="I35" s="312"/>
      <c r="J35" s="313"/>
      <c r="K35" s="59"/>
    </row>
    <row r="36" spans="1:13" ht="43.5" customHeight="1" x14ac:dyDescent="0.25">
      <c r="A36" s="227"/>
      <c r="B36" s="228"/>
      <c r="C36" s="228"/>
      <c r="D36" s="228"/>
      <c r="E36" s="228"/>
      <c r="F36" s="74"/>
      <c r="G36" s="311" t="s">
        <v>378</v>
      </c>
      <c r="H36" s="312"/>
      <c r="I36" s="312"/>
      <c r="J36" s="313"/>
      <c r="K36" s="60"/>
    </row>
    <row r="37" spans="1:13" ht="22.5" customHeight="1" x14ac:dyDescent="0.25">
      <c r="A37" s="303" t="s">
        <v>321</v>
      </c>
      <c r="B37" s="304"/>
      <c r="C37" s="304"/>
      <c r="D37" s="304"/>
      <c r="E37" s="304"/>
      <c r="F37" s="67"/>
      <c r="G37" s="308" t="s">
        <v>45</v>
      </c>
      <c r="H37" s="309"/>
      <c r="I37" s="309"/>
      <c r="J37" s="310"/>
      <c r="K37" s="58"/>
    </row>
    <row r="38" spans="1:13" ht="33.75" customHeight="1" x14ac:dyDescent="0.25">
      <c r="A38" s="224"/>
      <c r="B38" s="225"/>
      <c r="C38" s="225"/>
      <c r="D38" s="225"/>
      <c r="E38" s="225"/>
      <c r="F38" s="69"/>
      <c r="G38" s="311" t="s">
        <v>46</v>
      </c>
      <c r="H38" s="312"/>
      <c r="I38" s="312"/>
      <c r="J38" s="313"/>
      <c r="K38" s="59" t="s">
        <v>287</v>
      </c>
    </row>
    <row r="39" spans="1:13" ht="32.25" customHeight="1" x14ac:dyDescent="0.25">
      <c r="A39" s="224"/>
      <c r="B39" s="225"/>
      <c r="C39" s="225"/>
      <c r="D39" s="225"/>
      <c r="E39" s="225"/>
      <c r="F39" s="69"/>
      <c r="G39" s="311" t="s">
        <v>384</v>
      </c>
      <c r="H39" s="312"/>
      <c r="I39" s="312"/>
      <c r="J39" s="313"/>
      <c r="K39" s="59"/>
    </row>
    <row r="40" spans="1:13" ht="32.25" customHeight="1" x14ac:dyDescent="0.25">
      <c r="A40" s="287"/>
      <c r="B40" s="225"/>
      <c r="C40" s="225"/>
      <c r="D40" s="225"/>
      <c r="E40" s="225"/>
      <c r="F40" s="69"/>
      <c r="G40" s="132" t="s">
        <v>408</v>
      </c>
      <c r="H40" s="109"/>
      <c r="I40" s="109"/>
      <c r="J40" s="110"/>
      <c r="K40" s="59"/>
    </row>
    <row r="41" spans="1:13" ht="15.75" x14ac:dyDescent="0.25">
      <c r="A41" s="227"/>
      <c r="B41" s="228"/>
      <c r="C41" s="228"/>
      <c r="D41" s="228"/>
      <c r="E41" s="228"/>
      <c r="F41" s="71"/>
      <c r="G41" s="329"/>
      <c r="H41" s="330"/>
      <c r="I41" s="330"/>
      <c r="J41" s="331"/>
      <c r="K41" s="60"/>
    </row>
    <row r="42" spans="1:13" ht="47.25" customHeight="1" x14ac:dyDescent="0.25">
      <c r="A42" s="303" t="s">
        <v>322</v>
      </c>
      <c r="B42" s="304"/>
      <c r="C42" s="304"/>
      <c r="D42" s="304"/>
      <c r="E42" s="304"/>
      <c r="F42" s="67"/>
      <c r="G42" s="308" t="s">
        <v>306</v>
      </c>
      <c r="H42" s="309"/>
      <c r="I42" s="309"/>
      <c r="J42" s="310"/>
      <c r="K42" s="58"/>
    </row>
    <row r="43" spans="1:13" ht="30" customHeight="1" x14ac:dyDescent="0.25">
      <c r="A43" s="224"/>
      <c r="B43" s="225"/>
      <c r="C43" s="225"/>
      <c r="D43" s="225"/>
      <c r="E43" s="225"/>
      <c r="F43" s="69"/>
      <c r="G43" s="332" t="s">
        <v>400</v>
      </c>
      <c r="H43" s="333"/>
      <c r="I43" s="333"/>
      <c r="J43" s="334"/>
      <c r="K43" s="59" t="s">
        <v>287</v>
      </c>
    </row>
    <row r="44" spans="1:13" ht="27.75" customHeight="1" x14ac:dyDescent="0.25">
      <c r="A44" s="224"/>
      <c r="B44" s="225"/>
      <c r="C44" s="225"/>
      <c r="D44" s="225"/>
      <c r="E44" s="225"/>
      <c r="F44" s="69"/>
      <c r="G44" s="311" t="s">
        <v>298</v>
      </c>
      <c r="H44" s="312"/>
      <c r="I44" s="312"/>
      <c r="J44" s="313"/>
      <c r="K44" s="59"/>
    </row>
    <row r="45" spans="1:13" ht="27.75" customHeight="1" x14ac:dyDescent="0.25">
      <c r="A45" s="287"/>
      <c r="B45" s="225"/>
      <c r="C45" s="225"/>
      <c r="D45" s="225"/>
      <c r="E45" s="225"/>
      <c r="F45" s="69"/>
      <c r="G45" s="311" t="s">
        <v>374</v>
      </c>
      <c r="H45" s="312"/>
      <c r="I45" s="312"/>
      <c r="J45" s="313"/>
      <c r="K45" s="127"/>
    </row>
    <row r="46" spans="1:13" ht="33.950000000000003" customHeight="1" x14ac:dyDescent="0.25">
      <c r="A46" s="227"/>
      <c r="B46" s="228"/>
      <c r="C46" s="228"/>
      <c r="D46" s="228"/>
      <c r="E46" s="228"/>
      <c r="F46" s="69"/>
      <c r="G46" s="317" t="s">
        <v>403</v>
      </c>
      <c r="H46" s="318"/>
      <c r="I46" s="318"/>
      <c r="J46" s="319"/>
      <c r="K46" s="59"/>
    </row>
    <row r="47" spans="1:13" ht="15.75" x14ac:dyDescent="0.25">
      <c r="A47" s="303" t="s">
        <v>323</v>
      </c>
      <c r="B47" s="304"/>
      <c r="C47" s="304"/>
      <c r="D47" s="304"/>
      <c r="E47" s="304"/>
      <c r="F47" s="67"/>
      <c r="G47" s="308" t="s">
        <v>305</v>
      </c>
      <c r="H47" s="309"/>
      <c r="I47" s="309"/>
      <c r="J47" s="310"/>
      <c r="K47" s="58"/>
    </row>
    <row r="48" spans="1:13" ht="39.75" customHeight="1" x14ac:dyDescent="0.25">
      <c r="A48" s="224"/>
      <c r="B48" s="225"/>
      <c r="C48" s="225"/>
      <c r="D48" s="225"/>
      <c r="E48" s="225"/>
      <c r="F48" s="69"/>
      <c r="G48" s="311" t="s">
        <v>299</v>
      </c>
      <c r="H48" s="312"/>
      <c r="I48" s="312"/>
      <c r="J48" s="313"/>
      <c r="K48" s="59" t="s">
        <v>287</v>
      </c>
    </row>
    <row r="49" spans="1:13" ht="45.75" customHeight="1" x14ac:dyDescent="0.25">
      <c r="A49" s="224"/>
      <c r="B49" s="225"/>
      <c r="C49" s="225"/>
      <c r="D49" s="225"/>
      <c r="E49" s="225"/>
      <c r="F49" s="69"/>
      <c r="G49" s="311" t="s">
        <v>407</v>
      </c>
      <c r="H49" s="312"/>
      <c r="I49" s="312"/>
      <c r="J49" s="313"/>
      <c r="K49" s="59"/>
    </row>
    <row r="50" spans="1:13" ht="58.5" customHeight="1" x14ac:dyDescent="0.25">
      <c r="A50" s="227"/>
      <c r="B50" s="228"/>
      <c r="C50" s="228"/>
      <c r="D50" s="228"/>
      <c r="E50" s="228"/>
      <c r="F50" s="71"/>
      <c r="G50" s="314"/>
      <c r="H50" s="312"/>
      <c r="I50" s="312"/>
      <c r="J50" s="313"/>
      <c r="K50" s="60"/>
    </row>
    <row r="51" spans="1:13" ht="15.75" customHeight="1" x14ac:dyDescent="0.25">
      <c r="A51" s="221" t="s">
        <v>383</v>
      </c>
      <c r="B51" s="222"/>
      <c r="C51" s="222"/>
      <c r="D51" s="222"/>
      <c r="E51" s="222"/>
      <c r="F51" s="61"/>
      <c r="G51" s="112"/>
      <c r="H51" s="113"/>
      <c r="I51" s="113"/>
      <c r="J51" s="114"/>
      <c r="K51" s="280" t="s">
        <v>301</v>
      </c>
    </row>
    <row r="52" spans="1:13" ht="30" customHeight="1" x14ac:dyDescent="0.25">
      <c r="A52" s="224"/>
      <c r="B52" s="225"/>
      <c r="C52" s="225"/>
      <c r="D52" s="225"/>
      <c r="E52" s="225"/>
      <c r="F52" s="73"/>
      <c r="G52" s="311" t="s">
        <v>405</v>
      </c>
      <c r="H52" s="312"/>
      <c r="I52" s="312"/>
      <c r="J52" s="313"/>
      <c r="K52" s="281"/>
    </row>
    <row r="53" spans="1:13" ht="15.75" customHeight="1" x14ac:dyDescent="0.25">
      <c r="A53" s="224"/>
      <c r="B53" s="225"/>
      <c r="C53" s="225"/>
      <c r="D53" s="225"/>
      <c r="E53" s="225"/>
      <c r="F53" s="73"/>
      <c r="G53" s="311" t="s">
        <v>302</v>
      </c>
      <c r="H53" s="312"/>
      <c r="I53" s="312"/>
      <c r="J53" s="313"/>
      <c r="K53" s="281"/>
    </row>
    <row r="54" spans="1:13" ht="15.75" customHeight="1" x14ac:dyDescent="0.25">
      <c r="A54" s="224"/>
      <c r="B54" s="225"/>
      <c r="C54" s="225"/>
      <c r="D54" s="225"/>
      <c r="E54" s="225"/>
      <c r="F54" s="73"/>
      <c r="G54" s="311" t="s">
        <v>404</v>
      </c>
      <c r="H54" s="312"/>
      <c r="I54" s="312"/>
      <c r="J54" s="313"/>
      <c r="K54" s="281"/>
    </row>
    <row r="55" spans="1:13" ht="15.75" customHeight="1" x14ac:dyDescent="0.25">
      <c r="A55" s="224"/>
      <c r="B55" s="225"/>
      <c r="C55" s="225"/>
      <c r="D55" s="225"/>
      <c r="E55" s="225"/>
      <c r="F55" s="73"/>
      <c r="G55" s="311" t="s">
        <v>406</v>
      </c>
      <c r="H55" s="312"/>
      <c r="I55" s="312"/>
      <c r="J55" s="313"/>
      <c r="K55" s="281"/>
      <c r="L55" s="62"/>
      <c r="M55" s="62"/>
    </row>
    <row r="56" spans="1:13" ht="15.75" customHeight="1" x14ac:dyDescent="0.25">
      <c r="A56" s="288"/>
      <c r="B56" s="289"/>
      <c r="C56" s="289"/>
      <c r="D56" s="289"/>
      <c r="E56" s="289"/>
      <c r="F56" s="74"/>
      <c r="G56" s="335" t="s">
        <v>303</v>
      </c>
      <c r="H56" s="336"/>
      <c r="I56" s="336"/>
      <c r="J56" s="337"/>
      <c r="K56" s="100" t="s">
        <v>304</v>
      </c>
    </row>
    <row r="57" spans="1:13" ht="15.75" customHeight="1" x14ac:dyDescent="0.25">
      <c r="A57" s="351" t="s">
        <v>385</v>
      </c>
      <c r="B57" s="352"/>
      <c r="C57" s="352"/>
      <c r="D57" s="352"/>
      <c r="E57" s="353"/>
      <c r="F57" s="117"/>
      <c r="G57" s="364" t="s">
        <v>387</v>
      </c>
      <c r="H57" s="365"/>
      <c r="I57" s="365"/>
      <c r="J57" s="366"/>
      <c r="K57" s="350" t="s">
        <v>287</v>
      </c>
    </row>
    <row r="58" spans="1:13" ht="32.25" customHeight="1" x14ac:dyDescent="0.25">
      <c r="A58" s="354"/>
      <c r="B58" s="355"/>
      <c r="C58" s="355"/>
      <c r="D58" s="355"/>
      <c r="E58" s="356"/>
      <c r="F58" s="118"/>
      <c r="G58" s="317" t="s">
        <v>388</v>
      </c>
      <c r="H58" s="318"/>
      <c r="I58" s="318"/>
      <c r="J58" s="319"/>
      <c r="K58" s="292"/>
    </row>
    <row r="59" spans="1:13" x14ac:dyDescent="0.25">
      <c r="A59" s="354"/>
      <c r="B59" s="355"/>
      <c r="C59" s="355"/>
      <c r="D59" s="355"/>
      <c r="E59" s="356"/>
      <c r="F59" s="119"/>
      <c r="G59" s="118"/>
      <c r="H59" s="118"/>
      <c r="I59" s="118"/>
      <c r="J59" s="118"/>
      <c r="K59" s="292"/>
    </row>
    <row r="60" spans="1:13" x14ac:dyDescent="0.25">
      <c r="A60" s="354"/>
      <c r="B60" s="355"/>
      <c r="C60" s="355"/>
      <c r="D60" s="355"/>
      <c r="E60" s="356"/>
      <c r="F60" s="118"/>
      <c r="G60" s="360"/>
      <c r="H60" s="360"/>
      <c r="I60" s="360"/>
      <c r="J60" s="361"/>
      <c r="K60" s="292"/>
    </row>
    <row r="61" spans="1:13" x14ac:dyDescent="0.25">
      <c r="A61" s="357"/>
      <c r="B61" s="358"/>
      <c r="C61" s="358"/>
      <c r="D61" s="358"/>
      <c r="E61" s="359"/>
      <c r="F61" s="118"/>
      <c r="G61" s="362"/>
      <c r="H61" s="363"/>
      <c r="I61" s="363"/>
      <c r="J61" s="363"/>
      <c r="K61" s="293"/>
    </row>
    <row r="62" spans="1:13" x14ac:dyDescent="0.25">
      <c r="A62" s="115" t="s">
        <v>393</v>
      </c>
      <c r="C62" s="50" t="s">
        <v>373</v>
      </c>
      <c r="K62" s="350" t="s">
        <v>287</v>
      </c>
    </row>
    <row r="63" spans="1:13" x14ac:dyDescent="0.25">
      <c r="K63" s="292"/>
    </row>
    <row r="64" spans="1:13" x14ac:dyDescent="0.25">
      <c r="K64" s="292"/>
    </row>
    <row r="65" spans="11:11" x14ac:dyDescent="0.25">
      <c r="K65" s="292"/>
    </row>
    <row r="66" spans="11:11" x14ac:dyDescent="0.25">
      <c r="K66" s="293"/>
    </row>
  </sheetData>
  <mergeCells count="62">
    <mergeCell ref="A6:E6"/>
    <mergeCell ref="G6:J6"/>
    <mergeCell ref="A7:E10"/>
    <mergeCell ref="G7:J7"/>
    <mergeCell ref="G8:J8"/>
    <mergeCell ref="G9:J9"/>
    <mergeCell ref="A17:E21"/>
    <mergeCell ref="G18:J18"/>
    <mergeCell ref="G19:J19"/>
    <mergeCell ref="G20:J20"/>
    <mergeCell ref="G21:J21"/>
    <mergeCell ref="A11:E16"/>
    <mergeCell ref="G12:J12"/>
    <mergeCell ref="G13:J13"/>
    <mergeCell ref="G14:J14"/>
    <mergeCell ref="G15:J15"/>
    <mergeCell ref="A22:E26"/>
    <mergeCell ref="G22:J22"/>
    <mergeCell ref="G23:J23"/>
    <mergeCell ref="G24:J24"/>
    <mergeCell ref="G25:J25"/>
    <mergeCell ref="G26:J26"/>
    <mergeCell ref="A27:E31"/>
    <mergeCell ref="G27:J27"/>
    <mergeCell ref="G28:J28"/>
    <mergeCell ref="G29:J29"/>
    <mergeCell ref="A32:E36"/>
    <mergeCell ref="G32:J32"/>
    <mergeCell ref="G33:J33"/>
    <mergeCell ref="G34:J34"/>
    <mergeCell ref="G35:J35"/>
    <mergeCell ref="G36:J36"/>
    <mergeCell ref="A37:E41"/>
    <mergeCell ref="G37:J37"/>
    <mergeCell ref="G38:J38"/>
    <mergeCell ref="G39:J39"/>
    <mergeCell ref="G41:J41"/>
    <mergeCell ref="G46:J46"/>
    <mergeCell ref="A47:E50"/>
    <mergeCell ref="G47:J47"/>
    <mergeCell ref="G48:J48"/>
    <mergeCell ref="G49:J49"/>
    <mergeCell ref="G50:J50"/>
    <mergeCell ref="A42:E46"/>
    <mergeCell ref="G42:J42"/>
    <mergeCell ref="G43:J43"/>
    <mergeCell ref="G44:J44"/>
    <mergeCell ref="G45:J45"/>
    <mergeCell ref="A51:E56"/>
    <mergeCell ref="K51:K55"/>
    <mergeCell ref="G52:J52"/>
    <mergeCell ref="G53:J53"/>
    <mergeCell ref="G54:J54"/>
    <mergeCell ref="G55:J55"/>
    <mergeCell ref="G56:J56"/>
    <mergeCell ref="K62:K66"/>
    <mergeCell ref="A57:E61"/>
    <mergeCell ref="G57:J57"/>
    <mergeCell ref="K57:K61"/>
    <mergeCell ref="G58:J58"/>
    <mergeCell ref="G60:J60"/>
    <mergeCell ref="G61:J61"/>
  </mergeCells>
  <printOptions horizontalCentered="1"/>
  <pageMargins left="0.70866141732283472" right="0.70866141732283472" top="0.35433070866141736" bottom="0.55118110236220474" header="0.31496062992125984" footer="0.31496062992125984"/>
  <pageSetup paperSize="5" orientation="landscape" r:id="rId1"/>
  <headerFooter>
    <oddFooter>&amp;LFORMATO - DIRECTORES - JEFES - CERVANTES DIAZ SHIRLEY</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8B34-7ABE-422A-9DAF-7353D10CC05F}">
  <sheetPr>
    <tabColor theme="6" tint="-0.249977111117893"/>
  </sheetPr>
  <dimension ref="A2:P61"/>
  <sheetViews>
    <sheetView showGridLines="0" topLeftCell="A17" zoomScale="87" zoomScaleNormal="87" zoomScaleSheetLayoutView="75" workbookViewId="0">
      <selection activeCell="A11" sqref="A11:E16"/>
    </sheetView>
  </sheetViews>
  <sheetFormatPr baseColWidth="10" defaultColWidth="11.42578125" defaultRowHeight="15" x14ac:dyDescent="0.25"/>
  <cols>
    <col min="1" max="2" width="11.42578125" style="50"/>
    <col min="3" max="3" width="17.85546875" style="50" customWidth="1"/>
    <col min="4" max="4" width="15.85546875" style="50" customWidth="1"/>
    <col min="5" max="5" width="25" style="50" customWidth="1"/>
    <col min="6" max="6" width="7" style="50" hidden="1" customWidth="1"/>
    <col min="7" max="7" width="50.140625" style="50" customWidth="1"/>
    <col min="8" max="10" width="11.42578125" style="50"/>
    <col min="11" max="11" width="22.140625" style="51" customWidth="1"/>
    <col min="12" max="16384" width="11.42578125" style="50"/>
  </cols>
  <sheetData>
    <row r="2" spans="1:11" ht="23.25" x14ac:dyDescent="0.35">
      <c r="C2" s="52" t="s">
        <v>382</v>
      </c>
      <c r="D2" s="52"/>
      <c r="E2" s="52"/>
      <c r="F2" s="52"/>
      <c r="G2" s="52"/>
    </row>
    <row r="3" spans="1:11" ht="18.75" x14ac:dyDescent="0.3">
      <c r="C3" s="53" t="s">
        <v>281</v>
      </c>
    </row>
    <row r="4" spans="1:11" ht="18.75" x14ac:dyDescent="0.3">
      <c r="C4" s="53" t="s">
        <v>282</v>
      </c>
    </row>
    <row r="6" spans="1:11" ht="35.25" customHeight="1" x14ac:dyDescent="0.3">
      <c r="A6" s="277" t="s">
        <v>314</v>
      </c>
      <c r="B6" s="278"/>
      <c r="C6" s="278"/>
      <c r="D6" s="278"/>
      <c r="E6" s="278"/>
      <c r="F6" s="63"/>
      <c r="G6" s="277" t="s">
        <v>283</v>
      </c>
      <c r="H6" s="278"/>
      <c r="I6" s="278"/>
      <c r="J6" s="279"/>
      <c r="K6" s="64" t="s">
        <v>284</v>
      </c>
    </row>
    <row r="7" spans="1:11" ht="52.5" customHeight="1" x14ac:dyDescent="0.25">
      <c r="A7" s="303" t="s">
        <v>313</v>
      </c>
      <c r="B7" s="304"/>
      <c r="C7" s="304"/>
      <c r="D7" s="304"/>
      <c r="E7" s="304"/>
      <c r="F7" s="67"/>
      <c r="G7" s="338" t="s">
        <v>285</v>
      </c>
      <c r="H7" s="339"/>
      <c r="I7" s="339"/>
      <c r="J7" s="340"/>
      <c r="K7" s="54"/>
    </row>
    <row r="8" spans="1:11" ht="31.5" customHeight="1" x14ac:dyDescent="0.25">
      <c r="A8" s="224"/>
      <c r="B8" s="225"/>
      <c r="C8" s="225"/>
      <c r="D8" s="225"/>
      <c r="E8" s="225"/>
      <c r="F8" s="69"/>
      <c r="G8" s="341" t="s">
        <v>286</v>
      </c>
      <c r="H8" s="312"/>
      <c r="I8" s="312"/>
      <c r="J8" s="313"/>
      <c r="K8" s="55" t="s">
        <v>287</v>
      </c>
    </row>
    <row r="9" spans="1:11" ht="31.5" customHeight="1" x14ac:dyDescent="0.25">
      <c r="A9" s="287"/>
      <c r="B9" s="225"/>
      <c r="C9" s="225"/>
      <c r="D9" s="225"/>
      <c r="E9" s="225"/>
      <c r="F9" s="69"/>
      <c r="G9" s="341" t="s">
        <v>389</v>
      </c>
      <c r="H9" s="312"/>
      <c r="I9" s="312"/>
      <c r="J9" s="313"/>
      <c r="K9" s="55"/>
    </row>
    <row r="10" spans="1:11" ht="71.25" customHeight="1" x14ac:dyDescent="0.25">
      <c r="A10" s="227"/>
      <c r="B10" s="228"/>
      <c r="C10" s="228"/>
      <c r="D10" s="228"/>
      <c r="E10" s="228"/>
      <c r="F10" s="71"/>
      <c r="G10" s="135" t="s">
        <v>410</v>
      </c>
      <c r="H10" s="133"/>
      <c r="I10" s="133"/>
      <c r="J10" s="134"/>
      <c r="K10" s="56"/>
    </row>
    <row r="11" spans="1:11" ht="15" customHeight="1" x14ac:dyDescent="0.25">
      <c r="A11" s="305" t="s">
        <v>386</v>
      </c>
      <c r="B11" s="306"/>
      <c r="C11" s="306"/>
      <c r="D11" s="306"/>
      <c r="E11" s="306"/>
      <c r="F11" s="66"/>
      <c r="G11" s="103"/>
      <c r="H11" s="104"/>
      <c r="I11" s="104"/>
      <c r="J11" s="105"/>
      <c r="K11" s="54"/>
    </row>
    <row r="12" spans="1:11" ht="51" customHeight="1" x14ac:dyDescent="0.25">
      <c r="A12" s="287"/>
      <c r="B12" s="225"/>
      <c r="C12" s="225"/>
      <c r="D12" s="225"/>
      <c r="E12" s="225"/>
      <c r="F12" s="68"/>
      <c r="G12" s="341" t="s">
        <v>307</v>
      </c>
      <c r="H12" s="312"/>
      <c r="I12" s="312"/>
      <c r="J12" s="313"/>
      <c r="K12" s="55" t="s">
        <v>287</v>
      </c>
    </row>
    <row r="13" spans="1:11" ht="51" customHeight="1" x14ac:dyDescent="0.25">
      <c r="A13" s="287"/>
      <c r="B13" s="225"/>
      <c r="C13" s="225"/>
      <c r="D13" s="225"/>
      <c r="E13" s="225"/>
      <c r="F13" s="68"/>
      <c r="G13" s="341" t="s">
        <v>375</v>
      </c>
      <c r="H13" s="312"/>
      <c r="I13" s="312"/>
      <c r="J13" s="313"/>
      <c r="K13" s="55"/>
    </row>
    <row r="14" spans="1:11" ht="35.25" customHeight="1" x14ac:dyDescent="0.25">
      <c r="A14" s="287"/>
      <c r="B14" s="225"/>
      <c r="C14" s="225"/>
      <c r="D14" s="225"/>
      <c r="E14" s="225"/>
      <c r="F14" s="68"/>
      <c r="G14" s="341" t="s">
        <v>391</v>
      </c>
      <c r="H14" s="312"/>
      <c r="I14" s="312"/>
      <c r="J14" s="313"/>
      <c r="K14" s="55"/>
    </row>
    <row r="15" spans="1:11" ht="35.25" customHeight="1" x14ac:dyDescent="0.25">
      <c r="A15" s="287"/>
      <c r="B15" s="225"/>
      <c r="C15" s="225"/>
      <c r="D15" s="225"/>
      <c r="E15" s="225"/>
      <c r="F15" s="68"/>
      <c r="G15" s="341" t="s">
        <v>392</v>
      </c>
      <c r="H15" s="312"/>
      <c r="I15" s="312"/>
      <c r="J15" s="313"/>
      <c r="K15" s="55"/>
    </row>
    <row r="16" spans="1:11" ht="26.25" customHeight="1" x14ac:dyDescent="0.25">
      <c r="A16" s="288"/>
      <c r="B16" s="289"/>
      <c r="C16" s="289"/>
      <c r="D16" s="289"/>
      <c r="E16" s="289"/>
      <c r="F16" s="70"/>
      <c r="G16" s="128" t="s">
        <v>401</v>
      </c>
      <c r="H16" s="106"/>
      <c r="I16" s="106"/>
      <c r="J16" s="107"/>
      <c r="K16" s="56"/>
    </row>
    <row r="17" spans="1:16" ht="9" customHeight="1" x14ac:dyDescent="0.25">
      <c r="A17" s="320" t="s">
        <v>316</v>
      </c>
      <c r="B17" s="321"/>
      <c r="C17" s="321"/>
      <c r="D17" s="321"/>
      <c r="E17" s="321"/>
      <c r="F17" s="61"/>
      <c r="G17" s="108"/>
      <c r="H17" s="109"/>
      <c r="I17" s="109"/>
      <c r="J17" s="110"/>
      <c r="K17" s="58"/>
    </row>
    <row r="18" spans="1:16" ht="36.75" customHeight="1" x14ac:dyDescent="0.25">
      <c r="A18" s="322"/>
      <c r="B18" s="298"/>
      <c r="C18" s="298"/>
      <c r="D18" s="298"/>
      <c r="E18" s="298"/>
      <c r="F18" s="69"/>
      <c r="G18" s="311" t="s">
        <v>29</v>
      </c>
      <c r="H18" s="312"/>
      <c r="I18" s="312"/>
      <c r="J18" s="313"/>
      <c r="K18" s="59"/>
    </row>
    <row r="19" spans="1:16" ht="37.5" customHeight="1" x14ac:dyDescent="0.25">
      <c r="A19" s="322"/>
      <c r="B19" s="298"/>
      <c r="C19" s="298"/>
      <c r="D19" s="298"/>
      <c r="E19" s="298"/>
      <c r="F19" s="69"/>
      <c r="G19" s="311" t="s">
        <v>30</v>
      </c>
      <c r="H19" s="312"/>
      <c r="I19" s="312"/>
      <c r="J19" s="313"/>
      <c r="K19" s="59" t="s">
        <v>287</v>
      </c>
    </row>
    <row r="20" spans="1:16" ht="33.75" customHeight="1" x14ac:dyDescent="0.25">
      <c r="A20" s="322"/>
      <c r="B20" s="298"/>
      <c r="C20" s="298"/>
      <c r="D20" s="298"/>
      <c r="E20" s="298"/>
      <c r="F20" s="69"/>
      <c r="G20" s="311" t="s">
        <v>289</v>
      </c>
      <c r="H20" s="312"/>
      <c r="I20" s="312"/>
      <c r="J20" s="313"/>
      <c r="K20" s="59"/>
    </row>
    <row r="21" spans="1:16" ht="29.25" customHeight="1" x14ac:dyDescent="0.25">
      <c r="A21" s="322"/>
      <c r="B21" s="298"/>
      <c r="C21" s="298"/>
      <c r="D21" s="298"/>
      <c r="E21" s="298"/>
      <c r="F21" s="69"/>
      <c r="G21" s="311"/>
      <c r="H21" s="312"/>
      <c r="I21" s="312"/>
      <c r="J21" s="313"/>
      <c r="K21" s="60"/>
    </row>
    <row r="22" spans="1:16" ht="40.5" customHeight="1" x14ac:dyDescent="0.25">
      <c r="A22" s="323" t="s">
        <v>317</v>
      </c>
      <c r="B22" s="324"/>
      <c r="C22" s="324"/>
      <c r="D22" s="324"/>
      <c r="E22" s="325"/>
      <c r="F22" s="68"/>
      <c r="G22" s="347" t="s">
        <v>376</v>
      </c>
      <c r="H22" s="348"/>
      <c r="I22" s="348"/>
      <c r="J22" s="349"/>
      <c r="K22" s="101" t="s">
        <v>287</v>
      </c>
    </row>
    <row r="23" spans="1:16" ht="30.95" customHeight="1" x14ac:dyDescent="0.25">
      <c r="A23" s="322"/>
      <c r="B23" s="298"/>
      <c r="C23" s="298"/>
      <c r="D23" s="298"/>
      <c r="E23" s="299"/>
      <c r="F23" s="68"/>
      <c r="G23" s="311" t="s">
        <v>8</v>
      </c>
      <c r="H23" s="312"/>
      <c r="I23" s="312"/>
      <c r="J23" s="313"/>
      <c r="K23" s="55"/>
      <c r="L23" s="130"/>
      <c r="M23" s="131"/>
      <c r="N23" s="130"/>
      <c r="O23" s="130"/>
      <c r="P23" s="130"/>
    </row>
    <row r="24" spans="1:16" ht="36" customHeight="1" x14ac:dyDescent="0.25">
      <c r="A24" s="322"/>
      <c r="B24" s="298"/>
      <c r="C24" s="298"/>
      <c r="D24" s="298"/>
      <c r="E24" s="299"/>
      <c r="F24" s="68"/>
      <c r="G24" s="317" t="s">
        <v>396</v>
      </c>
      <c r="H24" s="318"/>
      <c r="I24" s="318"/>
      <c r="J24" s="319"/>
      <c r="K24" s="55"/>
    </row>
    <row r="25" spans="1:16" ht="31.5" customHeight="1" x14ac:dyDescent="0.25">
      <c r="A25" s="322"/>
      <c r="B25" s="298"/>
      <c r="C25" s="298"/>
      <c r="D25" s="298"/>
      <c r="E25" s="299"/>
      <c r="F25" s="68"/>
      <c r="G25" s="311" t="s">
        <v>411</v>
      </c>
      <c r="H25" s="312"/>
      <c r="I25" s="312"/>
      <c r="J25" s="313"/>
      <c r="K25" s="55"/>
      <c r="M25" s="129"/>
    </row>
    <row r="26" spans="1:16" ht="95.25" customHeight="1" x14ac:dyDescent="0.25">
      <c r="A26" s="297"/>
      <c r="B26" s="298"/>
      <c r="C26" s="298"/>
      <c r="D26" s="298"/>
      <c r="E26" s="299"/>
      <c r="F26" s="68"/>
      <c r="G26" s="326" t="s">
        <v>402</v>
      </c>
      <c r="H26" s="327"/>
      <c r="I26" s="327"/>
      <c r="J26" s="328"/>
      <c r="K26" s="55"/>
    </row>
    <row r="27" spans="1:16" ht="26.25" customHeight="1" x14ac:dyDescent="0.25">
      <c r="A27" s="305" t="s">
        <v>319</v>
      </c>
      <c r="B27" s="306"/>
      <c r="C27" s="306"/>
      <c r="D27" s="306"/>
      <c r="E27" s="306"/>
      <c r="F27" s="141"/>
      <c r="G27" s="338" t="s">
        <v>55</v>
      </c>
      <c r="H27" s="339"/>
      <c r="I27" s="339"/>
      <c r="J27" s="340"/>
      <c r="K27" s="142"/>
    </row>
    <row r="28" spans="1:16" ht="15.75" x14ac:dyDescent="0.25">
      <c r="A28" s="287"/>
      <c r="B28" s="225"/>
      <c r="C28" s="225"/>
      <c r="D28" s="225"/>
      <c r="E28" s="225"/>
      <c r="F28" s="73"/>
      <c r="G28" s="341" t="s">
        <v>390</v>
      </c>
      <c r="H28" s="312"/>
      <c r="I28" s="312"/>
      <c r="J28" s="313"/>
      <c r="K28" s="127"/>
    </row>
    <row r="29" spans="1:16" ht="35.25" customHeight="1" x14ac:dyDescent="0.25">
      <c r="A29" s="287"/>
      <c r="B29" s="225"/>
      <c r="C29" s="225"/>
      <c r="D29" s="225"/>
      <c r="E29" s="225"/>
      <c r="F29" s="73"/>
      <c r="G29" s="341" t="s">
        <v>36</v>
      </c>
      <c r="H29" s="312"/>
      <c r="I29" s="312"/>
      <c r="J29" s="313"/>
      <c r="K29" s="127" t="s">
        <v>287</v>
      </c>
      <c r="M29" s="116"/>
    </row>
    <row r="30" spans="1:16" ht="15.75" x14ac:dyDescent="0.25">
      <c r="A30" s="287"/>
      <c r="B30" s="225"/>
      <c r="C30" s="225"/>
      <c r="D30" s="225"/>
      <c r="E30" s="225"/>
      <c r="F30" s="73"/>
      <c r="G30" s="341" t="s">
        <v>377</v>
      </c>
      <c r="H30" s="312"/>
      <c r="I30" s="312"/>
      <c r="J30" s="313"/>
      <c r="K30" s="127"/>
    </row>
    <row r="31" spans="1:16" ht="43.5" customHeight="1" x14ac:dyDescent="0.25">
      <c r="A31" s="227"/>
      <c r="B31" s="289"/>
      <c r="C31" s="289"/>
      <c r="D31" s="289"/>
      <c r="E31" s="289"/>
      <c r="F31" s="143"/>
      <c r="G31" s="370" t="s">
        <v>378</v>
      </c>
      <c r="H31" s="371"/>
      <c r="I31" s="371"/>
      <c r="J31" s="372"/>
      <c r="K31" s="60"/>
    </row>
    <row r="32" spans="1:16" ht="22.5" customHeight="1" x14ac:dyDescent="0.25">
      <c r="A32" s="303" t="s">
        <v>321</v>
      </c>
      <c r="B32" s="304"/>
      <c r="C32" s="304"/>
      <c r="D32" s="304"/>
      <c r="E32" s="304"/>
      <c r="F32" s="67"/>
      <c r="G32" s="308" t="s">
        <v>45</v>
      </c>
      <c r="H32" s="309"/>
      <c r="I32" s="309"/>
      <c r="J32" s="310"/>
      <c r="K32" s="58"/>
    </row>
    <row r="33" spans="1:11" ht="33.75" customHeight="1" x14ac:dyDescent="0.25">
      <c r="A33" s="224"/>
      <c r="B33" s="225"/>
      <c r="C33" s="225"/>
      <c r="D33" s="225"/>
      <c r="E33" s="225"/>
      <c r="F33" s="69"/>
      <c r="G33" s="311" t="s">
        <v>46</v>
      </c>
      <c r="H33" s="312"/>
      <c r="I33" s="312"/>
      <c r="J33" s="313"/>
      <c r="K33" s="59" t="s">
        <v>287</v>
      </c>
    </row>
    <row r="34" spans="1:11" ht="32.25" customHeight="1" x14ac:dyDescent="0.25">
      <c r="A34" s="224"/>
      <c r="B34" s="225"/>
      <c r="C34" s="225"/>
      <c r="D34" s="225"/>
      <c r="E34" s="225"/>
      <c r="F34" s="69"/>
      <c r="G34" s="311" t="s">
        <v>384</v>
      </c>
      <c r="H34" s="312"/>
      <c r="I34" s="312"/>
      <c r="J34" s="313"/>
      <c r="K34" s="59"/>
    </row>
    <row r="35" spans="1:11" ht="32.25" customHeight="1" x14ac:dyDescent="0.25">
      <c r="A35" s="287"/>
      <c r="B35" s="225"/>
      <c r="C35" s="225"/>
      <c r="D35" s="225"/>
      <c r="E35" s="225"/>
      <c r="F35" s="69"/>
      <c r="G35" s="132" t="s">
        <v>408</v>
      </c>
      <c r="H35" s="109"/>
      <c r="I35" s="109"/>
      <c r="J35" s="110"/>
      <c r="K35" s="59"/>
    </row>
    <row r="36" spans="1:11" ht="15.75" x14ac:dyDescent="0.25">
      <c r="A36" s="227"/>
      <c r="B36" s="228"/>
      <c r="C36" s="228"/>
      <c r="D36" s="228"/>
      <c r="E36" s="228"/>
      <c r="F36" s="71"/>
      <c r="G36" s="329"/>
      <c r="H36" s="330"/>
      <c r="I36" s="330"/>
      <c r="J36" s="331"/>
      <c r="K36" s="60"/>
    </row>
    <row r="37" spans="1:11" ht="47.25" customHeight="1" x14ac:dyDescent="0.25">
      <c r="A37" s="303" t="s">
        <v>322</v>
      </c>
      <c r="B37" s="304"/>
      <c r="C37" s="304"/>
      <c r="D37" s="304"/>
      <c r="E37" s="304"/>
      <c r="F37" s="67"/>
      <c r="G37" s="308" t="s">
        <v>306</v>
      </c>
      <c r="H37" s="309"/>
      <c r="I37" s="309"/>
      <c r="J37" s="310"/>
      <c r="K37" s="58"/>
    </row>
    <row r="38" spans="1:11" ht="30" customHeight="1" x14ac:dyDescent="0.25">
      <c r="A38" s="224"/>
      <c r="B38" s="225"/>
      <c r="C38" s="225"/>
      <c r="D38" s="225"/>
      <c r="E38" s="225"/>
      <c r="F38" s="69"/>
      <c r="G38" s="332" t="s">
        <v>400</v>
      </c>
      <c r="H38" s="333"/>
      <c r="I38" s="333"/>
      <c r="J38" s="334"/>
      <c r="K38" s="59" t="s">
        <v>287</v>
      </c>
    </row>
    <row r="39" spans="1:11" ht="27.75" customHeight="1" x14ac:dyDescent="0.25">
      <c r="A39" s="224"/>
      <c r="B39" s="225"/>
      <c r="C39" s="225"/>
      <c r="D39" s="225"/>
      <c r="E39" s="225"/>
      <c r="F39" s="69"/>
      <c r="G39" s="311" t="s">
        <v>298</v>
      </c>
      <c r="H39" s="312"/>
      <c r="I39" s="312"/>
      <c r="J39" s="313"/>
      <c r="K39" s="59"/>
    </row>
    <row r="40" spans="1:11" ht="27.75" customHeight="1" x14ac:dyDescent="0.25">
      <c r="A40" s="287"/>
      <c r="B40" s="225"/>
      <c r="C40" s="225"/>
      <c r="D40" s="225"/>
      <c r="E40" s="225"/>
      <c r="F40" s="69"/>
      <c r="G40" s="311" t="s">
        <v>374</v>
      </c>
      <c r="H40" s="312"/>
      <c r="I40" s="312"/>
      <c r="J40" s="313"/>
      <c r="K40" s="127"/>
    </row>
    <row r="41" spans="1:11" ht="33.950000000000003" customHeight="1" x14ac:dyDescent="0.25">
      <c r="A41" s="227"/>
      <c r="B41" s="228"/>
      <c r="C41" s="228"/>
      <c r="D41" s="228"/>
      <c r="E41" s="228"/>
      <c r="F41" s="69"/>
      <c r="G41" s="317" t="s">
        <v>403</v>
      </c>
      <c r="H41" s="318"/>
      <c r="I41" s="318"/>
      <c r="J41" s="319"/>
      <c r="K41" s="59"/>
    </row>
    <row r="42" spans="1:11" ht="15.75" x14ac:dyDescent="0.25">
      <c r="A42" s="303" t="s">
        <v>323</v>
      </c>
      <c r="B42" s="304"/>
      <c r="C42" s="304"/>
      <c r="D42" s="304"/>
      <c r="E42" s="304"/>
      <c r="F42" s="67"/>
      <c r="G42" s="308" t="s">
        <v>305</v>
      </c>
      <c r="H42" s="309"/>
      <c r="I42" s="309"/>
      <c r="J42" s="310"/>
      <c r="K42" s="58"/>
    </row>
    <row r="43" spans="1:11" ht="39.75" customHeight="1" x14ac:dyDescent="0.25">
      <c r="A43" s="224"/>
      <c r="B43" s="225"/>
      <c r="C43" s="225"/>
      <c r="D43" s="225"/>
      <c r="E43" s="225"/>
      <c r="F43" s="69"/>
      <c r="G43" s="311" t="s">
        <v>299</v>
      </c>
      <c r="H43" s="312"/>
      <c r="I43" s="312"/>
      <c r="J43" s="313"/>
      <c r="K43" s="59" t="s">
        <v>287</v>
      </c>
    </row>
    <row r="44" spans="1:11" ht="45.75" customHeight="1" x14ac:dyDescent="0.25">
      <c r="A44" s="224"/>
      <c r="B44" s="225"/>
      <c r="C44" s="225"/>
      <c r="D44" s="225"/>
      <c r="E44" s="225"/>
      <c r="F44" s="69"/>
      <c r="G44" s="311" t="s">
        <v>412</v>
      </c>
      <c r="H44" s="312"/>
      <c r="I44" s="312"/>
      <c r="J44" s="313"/>
      <c r="K44" s="59"/>
    </row>
    <row r="45" spans="1:11" ht="58.5" customHeight="1" x14ac:dyDescent="0.25">
      <c r="A45" s="227"/>
      <c r="B45" s="228"/>
      <c r="C45" s="228"/>
      <c r="D45" s="228"/>
      <c r="E45" s="228"/>
      <c r="F45" s="71"/>
      <c r="G45" s="314"/>
      <c r="H45" s="312"/>
      <c r="I45" s="312"/>
      <c r="J45" s="313"/>
      <c r="K45" s="60"/>
    </row>
    <row r="46" spans="1:11" ht="15.75" customHeight="1" x14ac:dyDescent="0.25">
      <c r="A46" s="221" t="s">
        <v>383</v>
      </c>
      <c r="B46" s="222"/>
      <c r="C46" s="222"/>
      <c r="D46" s="222"/>
      <c r="E46" s="222"/>
      <c r="F46" s="61"/>
      <c r="G46" s="136"/>
      <c r="H46" s="137"/>
      <c r="I46" s="137"/>
      <c r="J46" s="138"/>
      <c r="K46" s="280"/>
    </row>
    <row r="47" spans="1:11" ht="30" customHeight="1" x14ac:dyDescent="0.25">
      <c r="A47" s="224"/>
      <c r="B47" s="225"/>
      <c r="C47" s="225"/>
      <c r="D47" s="225"/>
      <c r="E47" s="225"/>
      <c r="F47" s="73"/>
      <c r="G47" s="341"/>
      <c r="H47" s="312"/>
      <c r="I47" s="312"/>
      <c r="J47" s="313"/>
      <c r="K47" s="281"/>
    </row>
    <row r="48" spans="1:11" ht="15.75" customHeight="1" x14ac:dyDescent="0.25">
      <c r="A48" s="224"/>
      <c r="B48" s="225"/>
      <c r="C48" s="225"/>
      <c r="D48" s="225"/>
      <c r="E48" s="225"/>
      <c r="F48" s="73"/>
      <c r="G48" s="341"/>
      <c r="H48" s="312"/>
      <c r="I48" s="312"/>
      <c r="J48" s="313"/>
      <c r="K48" s="281"/>
    </row>
    <row r="49" spans="1:13" ht="15.75" customHeight="1" x14ac:dyDescent="0.25">
      <c r="A49" s="224"/>
      <c r="B49" s="225"/>
      <c r="C49" s="225"/>
      <c r="D49" s="225"/>
      <c r="E49" s="225"/>
      <c r="F49" s="73"/>
      <c r="G49" s="341"/>
      <c r="H49" s="312"/>
      <c r="I49" s="312"/>
      <c r="J49" s="313"/>
      <c r="K49" s="281"/>
    </row>
    <row r="50" spans="1:13" ht="15.75" customHeight="1" x14ac:dyDescent="0.25">
      <c r="A50" s="224"/>
      <c r="B50" s="225"/>
      <c r="C50" s="225"/>
      <c r="D50" s="225"/>
      <c r="E50" s="225"/>
      <c r="F50" s="73"/>
      <c r="G50" s="139"/>
      <c r="J50" s="140"/>
      <c r="K50" s="281"/>
      <c r="L50" s="62"/>
      <c r="M50" s="62"/>
    </row>
    <row r="51" spans="1:13" ht="15.75" customHeight="1" x14ac:dyDescent="0.25">
      <c r="A51" s="288"/>
      <c r="B51" s="289"/>
      <c r="C51" s="289"/>
      <c r="D51" s="289"/>
      <c r="E51" s="289"/>
      <c r="F51" s="74"/>
      <c r="G51" s="367" t="s">
        <v>303</v>
      </c>
      <c r="H51" s="368"/>
      <c r="I51" s="368"/>
      <c r="J51" s="369"/>
      <c r="K51" s="100" t="s">
        <v>304</v>
      </c>
    </row>
    <row r="52" spans="1:13" ht="15.75" customHeight="1" x14ac:dyDescent="0.25">
      <c r="A52" s="351" t="s">
        <v>385</v>
      </c>
      <c r="B52" s="352"/>
      <c r="C52" s="352"/>
      <c r="D52" s="352"/>
      <c r="E52" s="353"/>
      <c r="F52" s="117"/>
      <c r="G52" s="364" t="s">
        <v>387</v>
      </c>
      <c r="H52" s="365"/>
      <c r="I52" s="365"/>
      <c r="J52" s="366"/>
      <c r="K52" s="350" t="s">
        <v>287</v>
      </c>
    </row>
    <row r="53" spans="1:13" ht="32.25" customHeight="1" x14ac:dyDescent="0.25">
      <c r="A53" s="354"/>
      <c r="B53" s="355"/>
      <c r="C53" s="355"/>
      <c r="D53" s="355"/>
      <c r="E53" s="356"/>
      <c r="F53" s="118"/>
      <c r="G53" s="317" t="s">
        <v>388</v>
      </c>
      <c r="H53" s="318"/>
      <c r="I53" s="318"/>
      <c r="J53" s="319"/>
      <c r="K53" s="292"/>
    </row>
    <row r="54" spans="1:13" x14ac:dyDescent="0.25">
      <c r="A54" s="354"/>
      <c r="B54" s="355"/>
      <c r="C54" s="355"/>
      <c r="D54" s="355"/>
      <c r="E54" s="356"/>
      <c r="F54" s="119"/>
      <c r="G54" s="118"/>
      <c r="H54" s="118"/>
      <c r="I54" s="118"/>
      <c r="J54" s="118"/>
      <c r="K54" s="292"/>
    </row>
    <row r="55" spans="1:13" x14ac:dyDescent="0.25">
      <c r="A55" s="354"/>
      <c r="B55" s="355"/>
      <c r="C55" s="355"/>
      <c r="D55" s="355"/>
      <c r="E55" s="356"/>
      <c r="F55" s="118"/>
      <c r="G55" s="360"/>
      <c r="H55" s="360"/>
      <c r="I55" s="360"/>
      <c r="J55" s="361"/>
      <c r="K55" s="292"/>
    </row>
    <row r="56" spans="1:13" x14ac:dyDescent="0.25">
      <c r="A56" s="357"/>
      <c r="B56" s="358"/>
      <c r="C56" s="358"/>
      <c r="D56" s="358"/>
      <c r="E56" s="359"/>
      <c r="F56" s="118"/>
      <c r="G56" s="362"/>
      <c r="H56" s="363"/>
      <c r="I56" s="363"/>
      <c r="J56" s="363"/>
      <c r="K56" s="293"/>
    </row>
    <row r="57" spans="1:13" x14ac:dyDescent="0.25">
      <c r="A57" s="115" t="s">
        <v>393</v>
      </c>
      <c r="C57" s="50" t="s">
        <v>373</v>
      </c>
      <c r="K57" s="350" t="s">
        <v>287</v>
      </c>
    </row>
    <row r="58" spans="1:13" x14ac:dyDescent="0.25">
      <c r="K58" s="292"/>
    </row>
    <row r="59" spans="1:13" x14ac:dyDescent="0.25">
      <c r="K59" s="292"/>
    </row>
    <row r="60" spans="1:13" x14ac:dyDescent="0.25">
      <c r="K60" s="292"/>
    </row>
    <row r="61" spans="1:13" x14ac:dyDescent="0.25">
      <c r="K61" s="293"/>
    </row>
  </sheetData>
  <mergeCells count="57">
    <mergeCell ref="A6:E6"/>
    <mergeCell ref="G6:J6"/>
    <mergeCell ref="A7:E10"/>
    <mergeCell ref="G7:J7"/>
    <mergeCell ref="G8:J8"/>
    <mergeCell ref="G9:J9"/>
    <mergeCell ref="A17:E21"/>
    <mergeCell ref="G18:J18"/>
    <mergeCell ref="G19:J19"/>
    <mergeCell ref="G20:J20"/>
    <mergeCell ref="G21:J21"/>
    <mergeCell ref="A11:E16"/>
    <mergeCell ref="G12:J12"/>
    <mergeCell ref="G13:J13"/>
    <mergeCell ref="G14:J14"/>
    <mergeCell ref="G15:J15"/>
    <mergeCell ref="A22:E26"/>
    <mergeCell ref="G22:J22"/>
    <mergeCell ref="G23:J23"/>
    <mergeCell ref="G24:J24"/>
    <mergeCell ref="G25:J25"/>
    <mergeCell ref="G26:J26"/>
    <mergeCell ref="A27:E31"/>
    <mergeCell ref="G27:J27"/>
    <mergeCell ref="G28:J28"/>
    <mergeCell ref="G29:J29"/>
    <mergeCell ref="G30:J30"/>
    <mergeCell ref="G31:J31"/>
    <mergeCell ref="A32:E36"/>
    <mergeCell ref="G32:J32"/>
    <mergeCell ref="G33:J33"/>
    <mergeCell ref="G34:J34"/>
    <mergeCell ref="G36:J36"/>
    <mergeCell ref="G41:J41"/>
    <mergeCell ref="A42:E45"/>
    <mergeCell ref="G42:J42"/>
    <mergeCell ref="G43:J43"/>
    <mergeCell ref="G44:J44"/>
    <mergeCell ref="G45:J45"/>
    <mergeCell ref="A37:E41"/>
    <mergeCell ref="G37:J37"/>
    <mergeCell ref="G38:J38"/>
    <mergeCell ref="G39:J39"/>
    <mergeCell ref="G40:J40"/>
    <mergeCell ref="A46:E51"/>
    <mergeCell ref="K46:K50"/>
    <mergeCell ref="G47:J47"/>
    <mergeCell ref="G48:J48"/>
    <mergeCell ref="G49:J49"/>
    <mergeCell ref="G51:J51"/>
    <mergeCell ref="K57:K61"/>
    <mergeCell ref="A52:E56"/>
    <mergeCell ref="G52:J52"/>
    <mergeCell ref="K52:K56"/>
    <mergeCell ref="G53:J53"/>
    <mergeCell ref="G55:J55"/>
    <mergeCell ref="G56:J56"/>
  </mergeCells>
  <printOptions horizontalCentered="1"/>
  <pageMargins left="0.70866141732283472" right="0.70866141732283472" top="0.35433070866141736" bottom="0.55118110236220474" header="0.31496062992125984" footer="0.31496062992125984"/>
  <pageSetup paperSize="5" orientation="landscape" r:id="rId1"/>
  <headerFooter>
    <oddFooter>&amp;LFORMATO - DIRECTORES - JEFES - CERVANTES DIAZ SHIRLEY</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workbookViewId="0"/>
  </sheetViews>
  <sheetFormatPr baseColWidth="10"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7</vt:i4>
      </vt:variant>
    </vt:vector>
  </HeadingPairs>
  <TitlesOfParts>
    <vt:vector size="16" baseType="lpstr">
      <vt:lpstr>MENU PRINCIPAL</vt:lpstr>
      <vt:lpstr>REGISTROS</vt:lpstr>
      <vt:lpstr>BDATOS</vt:lpstr>
      <vt:lpstr>EVALUACION DESEMPEÑO</vt:lpstr>
      <vt:lpstr>PREGUNTAS</vt:lpstr>
      <vt:lpstr>DIRECTORES</vt:lpstr>
      <vt:lpstr>COORDINADORES</vt:lpstr>
      <vt:lpstr>AUX SECRET ASIST</vt:lpstr>
      <vt:lpstr>Hoja1</vt:lpstr>
      <vt:lpstr>'EVALUACION DESEMPEÑO'!Área_de_impresión</vt:lpstr>
      <vt:lpstr>'AUX SECRET ASIST'!Títulos_a_imprimir</vt:lpstr>
      <vt:lpstr>COORDINADORES!Títulos_a_imprimir</vt:lpstr>
      <vt:lpstr>DIRECTORES!Títulos_a_imprimir</vt:lpstr>
      <vt:lpstr>PREGUNTAS!Títulos_a_imprimir</vt:lpstr>
      <vt:lpstr>BDATOS!TRABAJADOR</vt:lpstr>
      <vt:lpstr>VALORES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GESTION HUMANA TGNSA</dc:creator>
  <cp:lastModifiedBy>TALENTO HUMANO</cp:lastModifiedBy>
  <cp:lastPrinted>2017-11-01T15:52:11Z</cp:lastPrinted>
  <dcterms:created xsi:type="dcterms:W3CDTF">2015-02-19T22:29:20Z</dcterms:created>
  <dcterms:modified xsi:type="dcterms:W3CDTF">2023-11-08T15:22:48Z</dcterms:modified>
</cp:coreProperties>
</file>